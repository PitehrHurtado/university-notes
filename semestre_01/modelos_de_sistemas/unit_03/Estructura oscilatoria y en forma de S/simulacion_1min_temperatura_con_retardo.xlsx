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ogle drive sincronizar\Clases 2025\EII3110-1S-2025\clases\clase 5\"/>
    </mc:Choice>
  </mc:AlternateContent>
  <xr:revisionPtr revIDLastSave="0" documentId="13_ncr:1_{EE1C0DF4-3DCD-40C5-A369-54C204E3314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tardo con mezcla" sheetId="1" r:id="rId1"/>
    <sheet name="retardo de tubería" sheetId="3" r:id="rId2"/>
    <sheet name="Hoj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F19" i="1" l="1"/>
  <c r="B19" i="1"/>
  <c r="G18" i="1"/>
  <c r="B18" i="1"/>
  <c r="F18" i="1"/>
  <c r="B20" i="1"/>
  <c r="E18" i="1"/>
  <c r="B21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G17" i="1"/>
  <c r="D17" i="1" s="1"/>
  <c r="E17" i="1"/>
  <c r="C17" i="1"/>
  <c r="E3" i="1"/>
  <c r="G3" i="1" s="1"/>
  <c r="C4" i="1" s="1"/>
  <c r="B55" i="3"/>
  <c r="B56" i="3" s="1"/>
  <c r="C55" i="3"/>
  <c r="C56" i="3"/>
  <c r="C57" i="3"/>
  <c r="C58" i="3"/>
  <c r="A55" i="3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C9" i="3"/>
  <c r="C8" i="3"/>
  <c r="C7" i="3"/>
  <c r="C6" i="3"/>
  <c r="C5" i="3"/>
  <c r="C4" i="3"/>
  <c r="C3" i="3"/>
  <c r="B4" i="3"/>
  <c r="B5" i="3"/>
  <c r="B3" i="3"/>
  <c r="B31" i="3"/>
  <c r="B49" i="3"/>
  <c r="C49" i="3"/>
  <c r="B50" i="3"/>
  <c r="B51" i="3" s="1"/>
  <c r="B52" i="3" s="1"/>
  <c r="B53" i="3" s="1"/>
  <c r="B54" i="3" s="1"/>
  <c r="C50" i="3"/>
  <c r="C51" i="3"/>
  <c r="C52" i="3"/>
  <c r="C53" i="3"/>
  <c r="C54" i="3"/>
  <c r="A50" i="3"/>
  <c r="A51" i="3"/>
  <c r="A52" i="3"/>
  <c r="A53" i="3"/>
  <c r="A54" i="3"/>
  <c r="C42" i="3"/>
  <c r="C43" i="3"/>
  <c r="C44" i="3"/>
  <c r="C45" i="3"/>
  <c r="C46" i="3"/>
  <c r="B42" i="3"/>
  <c r="B43" i="3"/>
  <c r="C47" i="3" s="1"/>
  <c r="B44" i="3"/>
  <c r="B45" i="3" s="1"/>
  <c r="B46" i="3" s="1"/>
  <c r="B47" i="3" s="1"/>
  <c r="C41" i="3"/>
  <c r="B41" i="3"/>
  <c r="B40" i="3"/>
  <c r="C40" i="3"/>
  <c r="A31" i="3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H30" i="3"/>
  <c r="H29" i="3"/>
  <c r="E4" i="1" l="1"/>
  <c r="G4" i="1" s="1"/>
  <c r="C5" i="1" s="1"/>
  <c r="B57" i="3"/>
  <c r="C60" i="3"/>
  <c r="C59" i="3"/>
  <c r="B48" i="3"/>
  <c r="C48" i="3"/>
  <c r="B32" i="3"/>
  <c r="B33" i="3" s="1"/>
  <c r="B34" i="3" s="1"/>
  <c r="C34" i="3"/>
  <c r="C38" i="3"/>
  <c r="C36" i="3"/>
  <c r="B6" i="3"/>
  <c r="C35" i="3"/>
  <c r="C37" i="3"/>
  <c r="B35" i="3"/>
  <c r="C39" i="3" s="1"/>
  <c r="D18" i="1" l="1"/>
  <c r="C18" i="1"/>
  <c r="B58" i="3"/>
  <c r="C61" i="3"/>
  <c r="B36" i="3"/>
  <c r="B37" i="3" s="1"/>
  <c r="B38" i="3" s="1"/>
  <c r="B39" i="3" s="1"/>
  <c r="B7" i="3"/>
  <c r="C19" i="1" l="1"/>
  <c r="B59" i="3"/>
  <c r="C62" i="3"/>
  <c r="B8" i="3"/>
  <c r="G19" i="1" l="1"/>
  <c r="D19" i="1" s="1"/>
  <c r="E19" i="1"/>
  <c r="C63" i="3"/>
  <c r="B60" i="3"/>
  <c r="E5" i="1"/>
  <c r="G5" i="1" s="1"/>
  <c r="C6" i="1" s="1"/>
  <c r="B9" i="3"/>
  <c r="F20" i="1" l="1"/>
  <c r="G20" i="1" s="1"/>
  <c r="D20" i="1" s="1"/>
  <c r="C20" i="1"/>
  <c r="E20" i="1" s="1"/>
  <c r="C64" i="3"/>
  <c r="B61" i="3"/>
  <c r="B10" i="3"/>
  <c r="F21" i="1" l="1"/>
  <c r="G21" i="1" s="1"/>
  <c r="D21" i="1" s="1"/>
  <c r="C21" i="1"/>
  <c r="E21" i="1" s="1"/>
  <c r="B62" i="3"/>
  <c r="C65" i="3"/>
  <c r="E6" i="1"/>
  <c r="G6" i="1" s="1"/>
  <c r="C7" i="1" s="1"/>
  <c r="C10" i="3"/>
  <c r="B11" i="3" s="1"/>
  <c r="B22" i="1" l="1"/>
  <c r="C22" i="1" s="1"/>
  <c r="E22" i="1" s="1"/>
  <c r="F22" i="1"/>
  <c r="G22" i="1" s="1"/>
  <c r="D22" i="1" s="1"/>
  <c r="B63" i="3"/>
  <c r="C66" i="3"/>
  <c r="E7" i="1"/>
  <c r="G7" i="1" s="1"/>
  <c r="C8" i="1" s="1"/>
  <c r="C12" i="3"/>
  <c r="C11" i="3"/>
  <c r="B12" i="3" s="1"/>
  <c r="B13" i="3" s="1"/>
  <c r="B23" i="1" l="1"/>
  <c r="B64" i="3"/>
  <c r="C67" i="3"/>
  <c r="E8" i="1"/>
  <c r="G8" i="1" s="1"/>
  <c r="C9" i="1" s="1"/>
  <c r="F23" i="1"/>
  <c r="G23" i="1" s="1"/>
  <c r="C23" i="1" l="1"/>
  <c r="E23" i="1" s="1"/>
  <c r="B65" i="3"/>
  <c r="C68" i="3"/>
  <c r="C13" i="3"/>
  <c r="B14" i="3" s="1"/>
  <c r="D23" i="1"/>
  <c r="B24" i="1" l="1"/>
  <c r="B66" i="3"/>
  <c r="C69" i="3"/>
  <c r="E9" i="1"/>
  <c r="G9" i="1" s="1"/>
  <c r="C10" i="1" s="1"/>
  <c r="C14" i="3"/>
  <c r="B15" i="3" s="1"/>
  <c r="F24" i="1"/>
  <c r="C24" i="1" l="1"/>
  <c r="E24" i="1" s="1"/>
  <c r="G24" i="1"/>
  <c r="B67" i="3"/>
  <c r="C70" i="3"/>
  <c r="E10" i="1"/>
  <c r="G10" i="1" s="1"/>
  <c r="C11" i="1" s="1"/>
  <c r="C15" i="3"/>
  <c r="B16" i="3" s="1"/>
  <c r="F25" i="1" l="1"/>
  <c r="G25" i="1" s="1"/>
  <c r="D25" i="1" s="1"/>
  <c r="D24" i="1"/>
  <c r="C71" i="3"/>
  <c r="B68" i="3"/>
  <c r="E11" i="1"/>
  <c r="G11" i="1" s="1"/>
  <c r="C12" i="1" s="1"/>
  <c r="C16" i="3"/>
  <c r="B17" i="3" s="1"/>
  <c r="B25" i="1" l="1"/>
  <c r="B26" i="1" s="1"/>
  <c r="C26" i="1" s="1"/>
  <c r="E26" i="1" s="1"/>
  <c r="C72" i="3"/>
  <c r="B69" i="3"/>
  <c r="E12" i="1"/>
  <c r="G12" i="1" s="1"/>
  <c r="C13" i="1" s="1"/>
  <c r="C17" i="3"/>
  <c r="B18" i="3" s="1"/>
  <c r="C25" i="1" l="1"/>
  <c r="E25" i="1" s="1"/>
  <c r="F26" i="1" s="1"/>
  <c r="G26" i="1" s="1"/>
  <c r="D26" i="1" s="1"/>
  <c r="B27" i="1" s="1"/>
  <c r="C73" i="3"/>
  <c r="B70" i="3"/>
  <c r="E13" i="1"/>
  <c r="G13" i="1" s="1"/>
  <c r="C18" i="3"/>
  <c r="B19" i="3" s="1"/>
  <c r="F27" i="1" l="1"/>
  <c r="G27" i="1" s="1"/>
  <c r="D27" i="1" s="1"/>
  <c r="B28" i="1" s="1"/>
  <c r="C27" i="1"/>
  <c r="E27" i="1" s="1"/>
  <c r="B71" i="3"/>
  <c r="C74" i="3"/>
  <c r="C19" i="3"/>
  <c r="B20" i="3" s="1"/>
  <c r="F28" i="1" l="1"/>
  <c r="C28" i="1"/>
  <c r="E28" i="1" s="1"/>
  <c r="C75" i="3"/>
  <c r="B72" i="3"/>
  <c r="C20" i="3"/>
  <c r="B21" i="3" s="1"/>
  <c r="G28" i="1" l="1"/>
  <c r="F29" i="1" s="1"/>
  <c r="B73" i="3"/>
  <c r="C76" i="3"/>
  <c r="C21" i="3"/>
  <c r="B22" i="3" s="1"/>
  <c r="G29" i="1" l="1"/>
  <c r="D29" i="1" s="1"/>
  <c r="D28" i="1"/>
  <c r="B29" i="1" s="1"/>
  <c r="B74" i="3"/>
  <c r="C77" i="3"/>
  <c r="C22" i="3"/>
  <c r="B30" i="1" l="1"/>
  <c r="C29" i="1"/>
  <c r="E29" i="1" s="1"/>
  <c r="F30" i="1" s="1"/>
  <c r="C78" i="3"/>
  <c r="B75" i="3"/>
  <c r="C30" i="1" l="1"/>
  <c r="E30" i="1" s="1"/>
  <c r="G30" i="1"/>
  <c r="D30" i="1" s="1"/>
  <c r="B31" i="1" s="1"/>
  <c r="C79" i="3"/>
  <c r="B76" i="3"/>
  <c r="F31" i="1" l="1"/>
  <c r="G31" i="1" s="1"/>
  <c r="D31" i="1" s="1"/>
  <c r="C31" i="1"/>
  <c r="E31" i="1" s="1"/>
  <c r="B77" i="3"/>
  <c r="C80" i="3"/>
  <c r="B32" i="1" l="1"/>
  <c r="F32" i="1"/>
  <c r="G32" i="1" s="1"/>
  <c r="B78" i="3"/>
  <c r="C81" i="3"/>
  <c r="C32" i="1" l="1"/>
  <c r="E32" i="1" s="1"/>
  <c r="F33" i="1" s="1"/>
  <c r="G33" i="1" s="1"/>
  <c r="D33" i="1" s="1"/>
  <c r="D32" i="1"/>
  <c r="B33" i="1" s="1"/>
  <c r="B79" i="3"/>
  <c r="C82" i="3"/>
  <c r="B34" i="1" l="1"/>
  <c r="C33" i="1"/>
  <c r="E33" i="1" s="1"/>
  <c r="F34" i="1" s="1"/>
  <c r="B80" i="3"/>
  <c r="C83" i="3"/>
  <c r="G34" i="1" l="1"/>
  <c r="D34" i="1" s="1"/>
  <c r="B35" i="1" s="1"/>
  <c r="C34" i="1"/>
  <c r="E34" i="1" s="1"/>
  <c r="B81" i="3"/>
  <c r="C84" i="3"/>
  <c r="F35" i="1" l="1"/>
  <c r="G35" i="1" s="1"/>
  <c r="D35" i="1" s="1"/>
  <c r="B36" i="1" s="1"/>
  <c r="C35" i="1"/>
  <c r="E35" i="1" s="1"/>
  <c r="B82" i="3"/>
  <c r="C85" i="3"/>
  <c r="C36" i="1" l="1"/>
  <c r="E36" i="1" s="1"/>
  <c r="F36" i="1"/>
  <c r="C86" i="3"/>
  <c r="B83" i="3"/>
  <c r="G36" i="1" l="1"/>
  <c r="D36" i="1" s="1"/>
  <c r="C87" i="3"/>
  <c r="B84" i="3"/>
  <c r="B37" i="1" l="1"/>
  <c r="C37" i="1" s="1"/>
  <c r="E37" i="1" s="1"/>
  <c r="F37" i="1"/>
  <c r="G37" i="1"/>
  <c r="D37" i="1" s="1"/>
  <c r="B85" i="3"/>
  <c r="C88" i="3"/>
  <c r="C89" i="3" l="1"/>
  <c r="B86" i="3"/>
  <c r="B87" i="3" l="1"/>
  <c r="C90" i="3"/>
  <c r="B88" i="3" l="1"/>
  <c r="C91" i="3"/>
  <c r="B89" i="3" l="1"/>
  <c r="C92" i="3"/>
  <c r="B90" i="3" l="1"/>
  <c r="C93" i="3"/>
  <c r="C94" i="3" l="1"/>
  <c r="B91" i="3"/>
  <c r="C95" i="3" l="1"/>
  <c r="B92" i="3"/>
  <c r="C96" i="3" l="1"/>
  <c r="B93" i="3"/>
  <c r="B94" i="3" l="1"/>
  <c r="C97" i="3"/>
  <c r="B95" i="3" l="1"/>
  <c r="C98" i="3"/>
  <c r="B96" i="3" l="1"/>
  <c r="C99" i="3"/>
  <c r="B97" i="3" l="1"/>
  <c r="C100" i="3"/>
  <c r="B98" i="3" l="1"/>
  <c r="C101" i="3"/>
  <c r="C102" i="3" l="1"/>
  <c r="B99" i="3"/>
  <c r="C103" i="3" l="1"/>
  <c r="B100" i="3"/>
  <c r="C104" i="3" l="1"/>
  <c r="B101" i="3"/>
  <c r="B102" i="3" l="1"/>
  <c r="C105" i="3"/>
  <c r="B103" i="3" l="1"/>
  <c r="C106" i="3"/>
  <c r="B104" i="3" l="1"/>
  <c r="C107" i="3"/>
  <c r="B105" i="3" l="1"/>
  <c r="C108" i="3"/>
  <c r="B106" i="3" l="1"/>
  <c r="C109" i="3"/>
  <c r="B107" i="3" l="1"/>
  <c r="C110" i="3"/>
  <c r="C111" i="3" l="1"/>
  <c r="B108" i="3"/>
  <c r="C112" i="3" l="1"/>
  <c r="B109" i="3"/>
  <c r="C113" i="3" l="1"/>
  <c r="B110" i="3"/>
  <c r="C114" i="3" l="1"/>
  <c r="B111" i="3"/>
  <c r="B112" i="3" l="1"/>
  <c r="C115" i="3"/>
  <c r="B113" i="3" l="1"/>
  <c r="C116" i="3"/>
  <c r="C117" i="3" l="1"/>
  <c r="B114" i="3"/>
  <c r="C118" i="3" l="1"/>
  <c r="B115" i="3"/>
  <c r="C119" i="3" l="1"/>
  <c r="B116" i="3"/>
  <c r="C120" i="3" l="1"/>
  <c r="B117" i="3"/>
  <c r="C121" i="3" l="1"/>
  <c r="B118" i="3"/>
  <c r="C122" i="3" l="1"/>
  <c r="B119" i="3"/>
  <c r="B120" i="3" l="1"/>
  <c r="C123" i="3"/>
  <c r="B121" i="3" l="1"/>
  <c r="C124" i="3"/>
  <c r="B122" i="3" l="1"/>
  <c r="C125" i="3"/>
  <c r="C126" i="3" l="1"/>
  <c r="B123" i="3"/>
  <c r="C127" i="3" l="1"/>
  <c r="B124" i="3"/>
  <c r="C128" i="3" l="1"/>
  <c r="B125" i="3"/>
  <c r="B126" i="3" l="1"/>
  <c r="B127" i="3" s="1"/>
  <c r="B128" i="3" s="1"/>
  <c r="B129" i="3" s="1"/>
  <c r="C129" i="3"/>
</calcChain>
</file>

<file path=xl/sharedStrings.xml><?xml version="1.0" encoding="utf-8"?>
<sst xmlns="http://schemas.openxmlformats.org/spreadsheetml/2006/main" count="64" uniqueCount="52">
  <si>
    <t>Minuto</t>
  </si>
  <si>
    <t>Modelo Base, con retardo. Flujo=Diferencia/retardo, comportamiento tiende al equilibrio</t>
  </si>
  <si>
    <t>Tiempo</t>
  </si>
  <si>
    <t xml:space="preserve">Nivel actual </t>
  </si>
  <si>
    <t>Flujo neto</t>
  </si>
  <si>
    <t xml:space="preserve">Nivel deseado </t>
  </si>
  <si>
    <t>Demora (tiempo)</t>
  </si>
  <si>
    <t>time step</t>
  </si>
  <si>
    <t>T real [°C]</t>
  </si>
  <si>
    <t>Diferencia [°C]</t>
  </si>
  <si>
    <t>T ducha [°C]</t>
  </si>
  <si>
    <t>Ajuste [°C]</t>
  </si>
  <si>
    <t>Ajuste [°C/m]</t>
  </si>
  <si>
    <t>Entrada [°C/m]</t>
  </si>
  <si>
    <t xml:space="preserve">Diferencia percibida [°C] </t>
  </si>
  <si>
    <t>salida [°C/m]</t>
  </si>
  <si>
    <t>=30+1,4*(1)</t>
  </si>
  <si>
    <t>=31,4+1,12*(1)</t>
  </si>
  <si>
    <t>=32,52+0,896*(1)</t>
  </si>
  <si>
    <t>=33,416+0,7168*(1)</t>
  </si>
  <si>
    <t>=34,1328+0,57344*(1)</t>
  </si>
  <si>
    <t>=37-30</t>
  </si>
  <si>
    <t>=37-31,4</t>
  </si>
  <si>
    <t>=37-33,416</t>
  </si>
  <si>
    <t>=37-34,1328</t>
  </si>
  <si>
    <t>=37-34,70624</t>
  </si>
  <si>
    <t>=37-35,164992</t>
  </si>
  <si>
    <t>=37-35,5319936</t>
  </si>
  <si>
    <t>=37-35,82559488</t>
  </si>
  <si>
    <t>=37-36,0604759</t>
  </si>
  <si>
    <t>=37-36,24838072</t>
  </si>
  <si>
    <t>=37-32,52</t>
  </si>
  <si>
    <t>=34,70624+0,458752*(1)</t>
  </si>
  <si>
    <t>=35,164+0,458*(1)</t>
  </si>
  <si>
    <t>=35,531+0,293*(1)</t>
  </si>
  <si>
    <t>=35,825+0,2348*(1)</t>
  </si>
  <si>
    <t>=36,248+0,1879*(1)</t>
  </si>
  <si>
    <t>=7/5</t>
  </si>
  <si>
    <t>=4,48/5</t>
  </si>
  <si>
    <t>=3,584/5</t>
  </si>
  <si>
    <t>=2,8672/5</t>
  </si>
  <si>
    <t>=2,29376/5</t>
  </si>
  <si>
    <t>=1,835008/5</t>
  </si>
  <si>
    <t>=5,6/5</t>
  </si>
  <si>
    <t>=1,46800/5</t>
  </si>
  <si>
    <t>=1,1744/5</t>
  </si>
  <si>
    <t>=0,9352/5</t>
  </si>
  <si>
    <t>=0,7516/5</t>
  </si>
  <si>
    <t>Time step</t>
  </si>
  <si>
    <t>Tiempo minutos</t>
  </si>
  <si>
    <t>Temperatura ducha (0)</t>
  </si>
  <si>
    <t>Temperatura deseada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</si>
</sst>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'retardo con mezcla'!$C$3:$C$13</c:f>
              <c:numCache>
                <c:formatCode>General</c:formatCode>
                <c:ptCount val="11"/>
                <c:pt idx="0">
                  <c:v>30</c:v>
                </c:pt>
                <c:pt idx="1">
                  <c:v>31.4</c:v>
                </c:pt>
                <c:pt idx="2">
                  <c:v>32.519999999999996</c:v>
                </c:pt>
                <c:pt idx="3">
                  <c:v>33.415999999999997</c:v>
                </c:pt>
                <c:pt idx="4">
                  <c:v>34.132799999999996</c:v>
                </c:pt>
                <c:pt idx="5">
                  <c:v>34.706239999999994</c:v>
                </c:pt>
                <c:pt idx="6">
                  <c:v>35.164991999999998</c:v>
                </c:pt>
                <c:pt idx="7">
                  <c:v>35.5319936</c:v>
                </c:pt>
                <c:pt idx="8">
                  <c:v>35.825594879999997</c:v>
                </c:pt>
                <c:pt idx="9">
                  <c:v>36.060475904</c:v>
                </c:pt>
                <c:pt idx="10">
                  <c:v>36.2483807232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C-4AA6-A2DA-3E5C1A714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231295"/>
        <c:axId val="1516229375"/>
      </c:lineChart>
      <c:catAx>
        <c:axId val="151623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229375"/>
        <c:crosses val="autoZero"/>
        <c:auto val="1"/>
        <c:lblAlgn val="ctr"/>
        <c:lblOffset val="100"/>
        <c:noMultiLvlLbl val="0"/>
      </c:catAx>
      <c:valAx>
        <c:axId val="15162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23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'retardo con mezcla'!$A$17:$A$37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'retardo con mezcla'!$B$17:$B$37</c:f>
              <c:numCache>
                <c:formatCode>0.00</c:formatCode>
                <c:ptCount val="21"/>
                <c:pt idx="0">
                  <c:v>30</c:v>
                </c:pt>
                <c:pt idx="1">
                  <c:v>30</c:v>
                </c:pt>
                <c:pt idx="2">
                  <c:v>31.4</c:v>
                </c:pt>
                <c:pt idx="3">
                  <c:v>33.92</c:v>
                </c:pt>
                <c:pt idx="4">
                  <c:v>37.056000000000004</c:v>
                </c:pt>
                <c:pt idx="5">
                  <c:v>40.180800000000005</c:v>
                </c:pt>
                <c:pt idx="6">
                  <c:v>42.669440000000002</c:v>
                </c:pt>
                <c:pt idx="7">
                  <c:v>44.024191999999999</c:v>
                </c:pt>
                <c:pt idx="8">
                  <c:v>43.974105599999994</c:v>
                </c:pt>
                <c:pt idx="9">
                  <c:v>42.529198079999993</c:v>
                </c:pt>
                <c:pt idx="10">
                  <c:v>39.978450943999995</c:v>
                </c:pt>
                <c:pt idx="11">
                  <c:v>36.832013619199998</c:v>
                </c:pt>
                <c:pt idx="12">
                  <c:v>33.719173570560002</c:v>
                </c:pt>
                <c:pt idx="13">
                  <c:v>31.262498807808004</c:v>
                </c:pt>
                <c:pt idx="14">
                  <c:v>29.953324283494407</c:v>
                </c:pt>
                <c:pt idx="15">
                  <c:v>30.053484902481927</c:v>
                </c:pt>
                <c:pt idx="16">
                  <c:v>31.542948540973061</c:v>
                </c:pt>
                <c:pt idx="17">
                  <c:v>34.123822471269584</c:v>
                </c:pt>
                <c:pt idx="18">
                  <c:v>37.279931907312189</c:v>
                </c:pt>
                <c:pt idx="19">
                  <c:v>40.380054961892355</c:v>
                </c:pt>
                <c:pt idx="20">
                  <c:v>42.804167024094049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E-4768-B0E4-ADCE677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335695"/>
        <c:axId val="1701286575"/>
      </c:lineChart>
      <c:catAx>
        <c:axId val="16933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01286575"/>
        <c:crosses val="autoZero"/>
        <c:auto val="1"/>
        <c:lblAlgn val="ctr"/>
        <c:lblOffset val="100"/>
        <c:noMultiLvlLbl val="0"/>
      </c:catAx>
      <c:valAx>
        <c:axId val="17012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9333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'retardo de tubería'!$B$2:$B$22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500</c:v>
                </c:pt>
                <c:pt idx="5">
                  <c:v>300</c:v>
                </c:pt>
                <c:pt idx="6">
                  <c:v>100</c:v>
                </c:pt>
                <c:pt idx="7">
                  <c:v>100</c:v>
                </c:pt>
                <c:pt idx="8">
                  <c:v>300</c:v>
                </c:pt>
                <c:pt idx="9">
                  <c:v>500</c:v>
                </c:pt>
                <c:pt idx="10">
                  <c:v>500</c:v>
                </c:pt>
                <c:pt idx="11">
                  <c:v>300</c:v>
                </c:pt>
                <c:pt idx="12">
                  <c:v>100</c:v>
                </c:pt>
                <c:pt idx="13">
                  <c:v>100</c:v>
                </c:pt>
                <c:pt idx="14">
                  <c:v>300</c:v>
                </c:pt>
                <c:pt idx="15">
                  <c:v>500</c:v>
                </c:pt>
                <c:pt idx="16">
                  <c:v>500</c:v>
                </c:pt>
                <c:pt idx="17">
                  <c:v>300</c:v>
                </c:pt>
                <c:pt idx="18">
                  <c:v>100</c:v>
                </c:pt>
                <c:pt idx="19">
                  <c:v>100</c:v>
                </c:pt>
                <c:pt idx="20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5-4714-9840-19D9AC9DB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230815"/>
        <c:axId val="1516231775"/>
      </c:lineChart>
      <c:catAx>
        <c:axId val="151623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231775"/>
        <c:crosses val="autoZero"/>
        <c:auto val="1"/>
        <c:lblAlgn val="ctr"/>
        <c:lblOffset val="100"/>
        <c:noMultiLvlLbl val="0"/>
      </c:catAx>
      <c:valAx>
        <c:axId val="151623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623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'retardo de tubería'!$B$30:$B$110</c:f>
              <c:numCache>
                <c:formatCode>General</c:formatCode>
                <c:ptCount val="8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350</c:v>
                </c:pt>
                <c:pt idx="10">
                  <c:v>387.5</c:v>
                </c:pt>
                <c:pt idx="11">
                  <c:v>412.5</c:v>
                </c:pt>
                <c:pt idx="12">
                  <c:v>425</c:v>
                </c:pt>
                <c:pt idx="13">
                  <c:v>425</c:v>
                </c:pt>
                <c:pt idx="14">
                  <c:v>412.5</c:v>
                </c:pt>
                <c:pt idx="15">
                  <c:v>390.625</c:v>
                </c:pt>
                <c:pt idx="16">
                  <c:v>362.5</c:v>
                </c:pt>
                <c:pt idx="17">
                  <c:v>331.25</c:v>
                </c:pt>
                <c:pt idx="18">
                  <c:v>300</c:v>
                </c:pt>
                <c:pt idx="19">
                  <c:v>271.875</c:v>
                </c:pt>
                <c:pt idx="20">
                  <c:v>249.21875</c:v>
                </c:pt>
                <c:pt idx="21">
                  <c:v>233.59375</c:v>
                </c:pt>
                <c:pt idx="22">
                  <c:v>225.78125</c:v>
                </c:pt>
                <c:pt idx="23">
                  <c:v>225.78125</c:v>
                </c:pt>
                <c:pt idx="24">
                  <c:v>232.8125</c:v>
                </c:pt>
                <c:pt idx="25">
                  <c:v>245.5078125</c:v>
                </c:pt>
                <c:pt idx="26">
                  <c:v>262.109375</c:v>
                </c:pt>
                <c:pt idx="27">
                  <c:v>280.6640625</c:v>
                </c:pt>
                <c:pt idx="28">
                  <c:v>299.21875</c:v>
                </c:pt>
                <c:pt idx="29">
                  <c:v>316.015625</c:v>
                </c:pt>
                <c:pt idx="30">
                  <c:v>329.638671875</c:v>
                </c:pt>
                <c:pt idx="31">
                  <c:v>339.111328125</c:v>
                </c:pt>
                <c:pt idx="32">
                  <c:v>343.9453125</c:v>
                </c:pt>
                <c:pt idx="33">
                  <c:v>344.140625</c:v>
                </c:pt>
                <c:pt idx="34">
                  <c:v>340.13671875</c:v>
                </c:pt>
                <c:pt idx="35">
                  <c:v>332.72705078125</c:v>
                </c:pt>
                <c:pt idx="36">
                  <c:v>322.94921875</c:v>
                </c:pt>
                <c:pt idx="37">
                  <c:v>311.962890625</c:v>
                </c:pt>
                <c:pt idx="38">
                  <c:v>300.927734375</c:v>
                </c:pt>
                <c:pt idx="39">
                  <c:v>290.8935546875</c:v>
                </c:pt>
                <c:pt idx="40">
                  <c:v>282.7117919921875</c:v>
                </c:pt>
                <c:pt idx="41">
                  <c:v>276.9744873046875</c:v>
                </c:pt>
                <c:pt idx="42">
                  <c:v>273.9837646484375</c:v>
                </c:pt>
                <c:pt idx="43">
                  <c:v>273.7518310546875</c:v>
                </c:pt>
                <c:pt idx="44">
                  <c:v>276.0284423828125</c:v>
                </c:pt>
                <c:pt idx="45">
                  <c:v>280.35049438476563</c:v>
                </c:pt>
                <c:pt idx="46">
                  <c:v>286.10687255859375</c:v>
                </c:pt>
                <c:pt idx="47">
                  <c:v>292.61093139648438</c:v>
                </c:pt>
                <c:pt idx="48">
                  <c:v>299.1729736328125</c:v>
                </c:pt>
                <c:pt idx="49">
                  <c:v>305.16586303710938</c:v>
                </c:pt>
                <c:pt idx="50">
                  <c:v>310.07823944091797</c:v>
                </c:pt>
                <c:pt idx="51">
                  <c:v>313.55152130126953</c:v>
                </c:pt>
                <c:pt idx="52">
                  <c:v>315.39878845214844</c:v>
                </c:pt>
                <c:pt idx="53">
                  <c:v>315.60554504394531</c:v>
                </c:pt>
                <c:pt idx="54">
                  <c:v>314.31407928466797</c:v>
                </c:pt>
                <c:pt idx="55">
                  <c:v>311.79451942443848</c:v>
                </c:pt>
                <c:pt idx="56">
                  <c:v>308.40663909912109</c:v>
                </c:pt>
                <c:pt idx="57">
                  <c:v>304.55694198608398</c:v>
                </c:pt>
                <c:pt idx="58">
                  <c:v>300.65555572509766</c:v>
                </c:pt>
                <c:pt idx="59">
                  <c:v>297.07703590393066</c:v>
                </c:pt>
                <c:pt idx="60">
                  <c:v>294.12840604782104</c:v>
                </c:pt>
                <c:pt idx="61">
                  <c:v>292.02674627304077</c:v>
                </c:pt>
                <c:pt idx="62">
                  <c:v>290.88751077651978</c:v>
                </c:pt>
                <c:pt idx="63">
                  <c:v>290.72362184524536</c:v>
                </c:pt>
                <c:pt idx="64">
                  <c:v>291.4543628692627</c:v>
                </c:pt>
                <c:pt idx="65">
                  <c:v>292.92226135730743</c:v>
                </c:pt>
                <c:pt idx="66">
                  <c:v>294.91557478904724</c:v>
                </c:pt>
                <c:pt idx="67">
                  <c:v>297.1936970949173</c:v>
                </c:pt>
                <c:pt idx="68">
                  <c:v>299.51279163360596</c:v>
                </c:pt>
                <c:pt idx="69">
                  <c:v>301.64920091629028</c:v>
                </c:pt>
                <c:pt idx="70">
                  <c:v>303.41863557696342</c:v>
                </c:pt>
                <c:pt idx="71">
                  <c:v>304.68974187970161</c:v>
                </c:pt>
                <c:pt idx="72">
                  <c:v>305.39131760597229</c:v>
                </c:pt>
                <c:pt idx="73">
                  <c:v>305.5131196975708</c:v>
                </c:pt>
                <c:pt idx="74">
                  <c:v>305.10081946849823</c:v>
                </c:pt>
                <c:pt idx="75">
                  <c:v>304.24616057425737</c:v>
                </c:pt>
                <c:pt idx="76">
                  <c:v>303.07372510433197</c:v>
                </c:pt>
                <c:pt idx="77">
                  <c:v>301.7258957028389</c:v>
                </c:pt>
                <c:pt idx="78">
                  <c:v>300.3476157784462</c:v>
                </c:pt>
                <c:pt idx="79">
                  <c:v>299.07241091132164</c:v>
                </c:pt>
                <c:pt idx="80">
                  <c:v>298.0108707677573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B-4600-9A17-6AF5384A5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061295"/>
        <c:axId val="1611062735"/>
      </c:lineChart>
      <c:catAx>
        <c:axId val="161106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1062735"/>
        <c:crosses val="autoZero"/>
        <c:auto val="1"/>
        <c:lblAlgn val="ctr"/>
        <c:lblOffset val="100"/>
        <c:noMultiLvlLbl val="0"/>
      </c:catAx>
      <c:valAx>
        <c:axId val="16110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10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emf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88900</xdr:colOff>
      <xdr:row>4</xdr:row>
      <xdr:rowOff>95250</xdr:rowOff>
    </xdr:from>
    <xdr:to>
      <xdr:col>29</xdr:col>
      <xdr:colOff>165479</xdr:colOff>
      <xdr:row>13</xdr:row>
      <xdr:rowOff>25481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A22EC-DE31-FC35-5A7D-658436EF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2100" y="831850"/>
          <a:ext cx="7391780" cy="1587582"/>
        </a:xfrm>
        <a:prstGeom prst="rect">
          <a:avLst/>
        </a:prstGeom>
      </xdr:spPr>
    </xdr:pic>
    <xdr:clientData/>
  </xdr:twoCellAnchor>
  <xdr:twoCellAnchor editAs="oneCell">
    <xdr:from>
      <xdr:col>17</xdr:col>
      <xdr:colOff>31750</xdr:colOff>
      <xdr:row>16</xdr:row>
      <xdr:rowOff>25400</xdr:rowOff>
    </xdr:from>
    <xdr:to>
      <xdr:col>23</xdr:col>
      <xdr:colOff>336754</xdr:colOff>
      <xdr:row>22</xdr:row>
      <xdr:rowOff>161910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D5358AC-6429-A327-BA94-60FFB061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950" y="3340100"/>
          <a:ext cx="3962604" cy="1619333"/>
        </a:xfrm>
        <a:prstGeom prst="rect">
          <a:avLst/>
        </a:prstGeom>
      </xdr:spPr>
    </xdr:pic>
    <xdr:clientData/>
  </xdr:twoCellAnchor>
  <xdr:twoCellAnchor editAs="oneCell">
    <xdr:from>
      <xdr:col>7</xdr:col>
      <xdr:colOff>146050</xdr:colOff>
      <xdr:row>40</xdr:row>
      <xdr:rowOff>0</xdr:rowOff>
    </xdr:from>
    <xdr:to>
      <xdr:col>10</xdr:col>
      <xdr:colOff>183879</xdr:colOff>
      <xdr:row>51</xdr:row>
      <xdr:rowOff>133460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5C9446-6822-8ACA-C25F-6C17EE12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8650" y="7734300"/>
          <a:ext cx="2635385" cy="2159111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0</xdr:row>
      <xdr:rowOff>0</xdr:rowOff>
    </xdr:from>
    <xdr:to>
      <xdr:col>14</xdr:col>
      <xdr:colOff>567418</xdr:colOff>
      <xdr:row>12</xdr:row>
      <xdr:rowOff>155478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1A337D6-3813-4E26-3D83-93BFD6F3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0"/>
          <a:ext cx="272415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409395</xdr:colOff>
      <xdr:row>8</xdr:row>
      <xdr:rowOff>101291</xdr:rowOff>
    </xdr:from>
    <xdr:to>
      <xdr:col>23</xdr:col>
      <xdr:colOff>134412</xdr:colOff>
      <xdr:row>20</xdr:row>
      <xdr:rowOff>87418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C68F3C-E2CF-0FEA-36BD-971DFE26A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94813</xdr:colOff>
      <xdr:row>38</xdr:row>
      <xdr:rowOff>157459</xdr:rowOff>
    </xdr:from>
    <xdr:to>
      <xdr:col>4</xdr:col>
      <xdr:colOff>817182</xdr:colOff>
      <xdr:row>53</xdr:row>
      <xdr:rowOff>147142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7169445-79AC-D6E2-6C27-32F4BD643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488405</xdr:colOff>
      <xdr:row>19</xdr:row>
      <xdr:rowOff>188107</xdr:rowOff>
    </xdr:from>
    <xdr:to>
      <xdr:col>12</xdr:col>
      <xdr:colOff>232649</xdr:colOff>
      <xdr:row>33</xdr:row>
      <xdr:rowOff>149814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84995A9-91DD-5819-FC7A-A6A34F69B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441" y="4760107"/>
          <a:ext cx="3384154" cy="2628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184150</xdr:colOff>
      <xdr:row>0</xdr:row>
      <xdr:rowOff>0</xdr:rowOff>
    </xdr:from>
    <xdr:to>
      <xdr:col>11</xdr:col>
      <xdr:colOff>749300</xdr:colOff>
      <xdr:row>11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F2D060-D8F4-BEBB-50F9-3DF55C59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550" y="0"/>
          <a:ext cx="2851150" cy="208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628650</xdr:colOff>
      <xdr:row>10</xdr:row>
      <xdr:rowOff>152400</xdr:rowOff>
    </xdr:from>
    <xdr:to>
      <xdr:col>19</xdr:col>
      <xdr:colOff>26010</xdr:colOff>
      <xdr:row>18</xdr:row>
      <xdr:rowOff>95323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B03350-6473-BAFD-7052-EF0E4172A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" y="1993900"/>
          <a:ext cx="11868760" cy="1416123"/>
        </a:xfrm>
        <a:prstGeom prst="rect">
          <a:avLst/>
        </a:prstGeom>
      </xdr:spPr>
    </xdr:pic>
    <xdr:clientData/>
  </xdr:twoCellAnchor>
  <xdr:twoCellAnchor editAs="oneCell">
    <xdr:from>
      <xdr:col>3</xdr:col>
      <xdr:colOff>603250</xdr:colOff>
      <xdr:row>19</xdr:row>
      <xdr:rowOff>19050</xdr:rowOff>
    </xdr:from>
    <xdr:to>
      <xdr:col>19</xdr:col>
      <xdr:colOff>45062</xdr:colOff>
      <xdr:row>24</xdr:row>
      <xdr:rowOff>95301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1E9AB5-E318-5819-E9A9-85FF8698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9250" y="3517900"/>
          <a:ext cx="11913212" cy="997001"/>
        </a:xfrm>
        <a:prstGeom prst="rect">
          <a:avLst/>
        </a:prstGeom>
      </xdr:spPr>
    </xdr:pic>
    <xdr:clientData/>
  </xdr:twoCellAnchor>
  <xdr:twoCellAnchor editAs="oneCell">
    <xdr:from>
      <xdr:col>7</xdr:col>
      <xdr:colOff>165100</xdr:colOff>
      <xdr:row>31</xdr:row>
      <xdr:rowOff>133350</xdr:rowOff>
    </xdr:from>
    <xdr:to>
      <xdr:col>22</xdr:col>
      <xdr:colOff>610210</xdr:colOff>
      <xdr:row>36</xdr:row>
      <xdr:rowOff>146099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41A506-3BF6-89C6-B4CB-AB4059F876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49"/>
        <a:stretch/>
      </xdr:blipFill>
      <xdr:spPr>
        <a:xfrm>
          <a:off x="5778500" y="5842000"/>
          <a:ext cx="11875110" cy="933499"/>
        </a:xfrm>
        <a:prstGeom prst="rect">
          <a:avLst/>
        </a:prstGeom>
      </xdr:spPr>
    </xdr:pic>
    <xdr:clientData/>
  </xdr:twoCellAnchor>
  <xdr:twoCellAnchor editAs="oneCell">
    <xdr:from>
      <xdr:col>3</xdr:col>
      <xdr:colOff>603250</xdr:colOff>
      <xdr:row>38</xdr:row>
      <xdr:rowOff>95250</xdr:rowOff>
    </xdr:from>
    <xdr:to>
      <xdr:col>19</xdr:col>
      <xdr:colOff>235572</xdr:colOff>
      <xdr:row>44</xdr:row>
      <xdr:rowOff>38154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7E9D226-D33A-F38E-7FF6-996B93695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89250" y="7092950"/>
          <a:ext cx="12103722" cy="1047804"/>
        </a:xfrm>
        <a:prstGeom prst="rect">
          <a:avLst/>
        </a:prstGeom>
      </xdr:spPr>
    </xdr:pic>
    <xdr:clientData/>
  </xdr:twoCellAnchor>
  <xdr:twoCellAnchor editAs="oneCell">
    <xdr:from>
      <xdr:col>3</xdr:col>
      <xdr:colOff>546100</xdr:colOff>
      <xdr:row>45</xdr:row>
      <xdr:rowOff>0</xdr:rowOff>
    </xdr:from>
    <xdr:to>
      <xdr:col>19</xdr:col>
      <xdr:colOff>121269</xdr:colOff>
      <xdr:row>51</xdr:row>
      <xdr:rowOff>44509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729D5B6-71BF-4444-3F4C-1B1F55331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2100" y="8286750"/>
          <a:ext cx="12046569" cy="11494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19</xdr:col>
      <xdr:colOff>260965</xdr:colOff>
      <xdr:row>58</xdr:row>
      <xdr:rowOff>152455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86093E-E84B-904F-8163-E5F7CB576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9759950"/>
          <a:ext cx="11970365" cy="1073205"/>
        </a:xfrm>
        <a:prstGeom prst="rect">
          <a:avLst/>
        </a:prstGeom>
      </xdr:spPr>
    </xdr:pic>
    <xdr:clientData/>
  </xdr:twoCellAnchor>
  <xdr:twoCellAnchor>
    <xdr:from>
      <xdr:col>11</xdr:col>
      <xdr:colOff>498475</xdr:colOff>
      <xdr:row>0</xdr:row>
      <xdr:rowOff>76200</xdr:rowOff>
    </xdr:from>
    <xdr:to>
      <xdr:col>17</xdr:col>
      <xdr:colOff>498475</xdr:colOff>
      <xdr:row>15</xdr:row>
      <xdr:rowOff>57150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75B4887-05A0-F5E5-2187-546E54126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596900</xdr:colOff>
      <xdr:row>27</xdr:row>
      <xdr:rowOff>44450</xdr:rowOff>
    </xdr:from>
    <xdr:to>
      <xdr:col>14</xdr:col>
      <xdr:colOff>596900</xdr:colOff>
      <xdr:row>42</xdr:row>
      <xdr:rowOff>25400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A4CD171-5EEA-4A35-8185-89973A389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425450</xdr:colOff>
      <xdr:row>0</xdr:row>
      <xdr:rowOff>0</xdr:rowOff>
    </xdr:from>
    <xdr:to>
      <xdr:col>9</xdr:col>
      <xdr:colOff>317847</xdr:colOff>
      <xdr:row>8</xdr:row>
      <xdr:rowOff>38178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DB4A99-FF43-8D96-2165-4C287D20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" y="0"/>
          <a:ext cx="6750397" cy="1511378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9</xdr:row>
      <xdr:rowOff>0</xdr:rowOff>
    </xdr:from>
    <xdr:to>
      <xdr:col>7</xdr:col>
      <xdr:colOff>101851</xdr:colOff>
      <xdr:row>19</xdr:row>
      <xdr:rowOff>127101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17328A-5CA6-A912-CB42-158A979B8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657350"/>
          <a:ext cx="4883401" cy="196860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20</xdr:row>
      <xdr:rowOff>12700</xdr:rowOff>
    </xdr:from>
    <xdr:to>
      <xdr:col>6</xdr:col>
      <xdr:colOff>647934</xdr:colOff>
      <xdr:row>28</xdr:row>
      <xdr:rowOff>69929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1205D4-CD8F-F4E6-9DF4-209A41044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3695700"/>
          <a:ext cx="4553184" cy="153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647968</xdr:colOff>
      <xdr:row>38</xdr:row>
      <xdr:rowOff>44537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11176E-601F-439A-89F9-54517B40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5340350"/>
          <a:ext cx="5219968" cy="1701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273260</xdr:colOff>
      <xdr:row>48</xdr:row>
      <xdr:rowOff>82639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C13557-6292-2EA9-C2D0-AF16D834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7181850"/>
          <a:ext cx="4083260" cy="17399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12700</xdr:rowOff>
    </xdr:from>
    <xdr:to>
      <xdr:col>8</xdr:col>
      <xdr:colOff>139981</xdr:colOff>
      <xdr:row>65</xdr:row>
      <xdr:rowOff>95396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1BD051-E48F-4DF4-BC64-05E4186D3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9220200"/>
          <a:ext cx="5473981" cy="28449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8</xdr:col>
      <xdr:colOff>349542</xdr:colOff>
      <xdr:row>72</xdr:row>
      <xdr:rowOff>19098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0E52E91-8A8E-5F05-677F-BC9F3CFD1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2338050"/>
          <a:ext cx="5683542" cy="9398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10</xdr:col>
      <xdr:colOff>482977</xdr:colOff>
      <xdr:row>86</xdr:row>
      <xdr:rowOff>165232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28AB0A-EEB6-1EE2-28F2-46E0EAA8C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13442950"/>
          <a:ext cx="7340977" cy="2559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topLeftCell="A5" zoomScale="140" zoomScaleNormal="140" workbookViewId="0">
      <selection activeCell="M20" sqref="M20"/>
    </sheetView>
  </sheetViews>
  <sheetFormatPr baseColWidth="10" defaultColWidth="8.7109375" defaultRowHeight="15" x14ac:dyDescent="0.25"/>
  <cols>
    <col min="2" max="2" width="23.140625" customWidth="1"/>
    <col min="3" max="3" width="13.28515625" bestFit="1" customWidth="1"/>
    <col min="4" max="4" width="18.42578125" customWidth="1"/>
    <col min="5" max="6" width="13.85546875" customWidth="1"/>
    <col min="7" max="7" width="12.5703125" customWidth="1"/>
    <col min="8" max="8" width="14.140625" customWidth="1"/>
    <col min="9" max="9" width="14.42578125" customWidth="1"/>
    <col min="13" max="13" width="11.140625" bestFit="1" customWidth="1"/>
  </cols>
  <sheetData>
    <row r="1" spans="1:12" x14ac:dyDescent="0.25">
      <c r="C1" s="2" t="s">
        <v>1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0</v>
      </c>
      <c r="B2" s="3"/>
      <c r="C2" s="1" t="s">
        <v>10</v>
      </c>
      <c r="D2" s="1"/>
      <c r="E2" s="1" t="s">
        <v>9</v>
      </c>
      <c r="F2" s="1"/>
      <c r="G2" s="1" t="s">
        <v>11</v>
      </c>
    </row>
    <row r="3" spans="1:12" ht="30" x14ac:dyDescent="0.25">
      <c r="A3" s="5">
        <v>0</v>
      </c>
      <c r="B3" s="5"/>
      <c r="C3" s="5">
        <v>30</v>
      </c>
      <c r="D3" s="9" t="s">
        <v>21</v>
      </c>
      <c r="E3" s="5">
        <f>$J$3-C3</f>
        <v>7</v>
      </c>
      <c r="F3" s="9" t="s">
        <v>37</v>
      </c>
      <c r="G3" s="5">
        <f>E3/$J$5</f>
        <v>1.4</v>
      </c>
      <c r="I3" s="12" t="s">
        <v>51</v>
      </c>
      <c r="J3" s="4">
        <v>37</v>
      </c>
    </row>
    <row r="4" spans="1:12" ht="30" x14ac:dyDescent="0.25">
      <c r="A4" s="5">
        <v>1</v>
      </c>
      <c r="B4" s="9" t="s">
        <v>16</v>
      </c>
      <c r="C4" s="5">
        <f t="shared" ref="C4:C13" si="0">C3+G3*($J$6)</f>
        <v>31.4</v>
      </c>
      <c r="D4" s="9" t="s">
        <v>22</v>
      </c>
      <c r="E4" s="5">
        <f>$J$3-C4</f>
        <v>5.6000000000000014</v>
      </c>
      <c r="F4" s="9" t="s">
        <v>43</v>
      </c>
      <c r="G4" s="5">
        <f>E4/$J$5</f>
        <v>1.1200000000000003</v>
      </c>
      <c r="I4" s="12" t="s">
        <v>50</v>
      </c>
      <c r="J4" s="4">
        <v>30</v>
      </c>
    </row>
    <row r="5" spans="1:12" x14ac:dyDescent="0.25">
      <c r="A5" s="5">
        <v>2</v>
      </c>
      <c r="B5" s="9" t="s">
        <v>17</v>
      </c>
      <c r="C5" s="5">
        <f t="shared" si="0"/>
        <v>32.519999999999996</v>
      </c>
      <c r="D5" s="9" t="s">
        <v>31</v>
      </c>
      <c r="E5" s="5">
        <f t="shared" ref="E5:E7" si="1">$J$3-C5</f>
        <v>4.480000000000004</v>
      </c>
      <c r="F5" s="9" t="s">
        <v>38</v>
      </c>
      <c r="G5" s="5">
        <f t="shared" ref="G5:G7" si="2">E5/$J$5</f>
        <v>0.8960000000000008</v>
      </c>
      <c r="I5" s="4" t="s">
        <v>49</v>
      </c>
      <c r="J5" s="4">
        <v>5</v>
      </c>
    </row>
    <row r="6" spans="1:12" x14ac:dyDescent="0.25">
      <c r="A6" s="5">
        <v>3</v>
      </c>
      <c r="B6" s="9" t="s">
        <v>18</v>
      </c>
      <c r="C6" s="5">
        <f t="shared" si="0"/>
        <v>33.415999999999997</v>
      </c>
      <c r="D6" s="9" t="s">
        <v>23</v>
      </c>
      <c r="E6" s="5">
        <f t="shared" si="1"/>
        <v>3.5840000000000032</v>
      </c>
      <c r="F6" s="9" t="s">
        <v>39</v>
      </c>
      <c r="G6" s="5">
        <f t="shared" si="2"/>
        <v>0.71680000000000066</v>
      </c>
      <c r="I6" s="4" t="s">
        <v>48</v>
      </c>
      <c r="J6" s="4">
        <v>1</v>
      </c>
    </row>
    <row r="7" spans="1:12" x14ac:dyDescent="0.25">
      <c r="A7" s="5">
        <v>4</v>
      </c>
      <c r="B7" s="9" t="s">
        <v>19</v>
      </c>
      <c r="C7" s="5">
        <f t="shared" si="0"/>
        <v>34.132799999999996</v>
      </c>
      <c r="D7" s="9" t="s">
        <v>24</v>
      </c>
      <c r="E7" s="5">
        <f t="shared" si="1"/>
        <v>2.867200000000004</v>
      </c>
      <c r="F7" s="9" t="s">
        <v>40</v>
      </c>
      <c r="G7" s="5">
        <f t="shared" si="2"/>
        <v>0.57344000000000084</v>
      </c>
    </row>
    <row r="8" spans="1:12" x14ac:dyDescent="0.25">
      <c r="A8" s="5">
        <v>5</v>
      </c>
      <c r="B8" s="9" t="s">
        <v>20</v>
      </c>
      <c r="C8" s="5">
        <f t="shared" si="0"/>
        <v>34.706239999999994</v>
      </c>
      <c r="D8" s="9" t="s">
        <v>25</v>
      </c>
      <c r="E8" s="5">
        <f>$J$3-C8</f>
        <v>2.293760000000006</v>
      </c>
      <c r="F8" s="9" t="s">
        <v>41</v>
      </c>
      <c r="G8" s="5">
        <f>E8/$J$5</f>
        <v>0.45875200000000121</v>
      </c>
    </row>
    <row r="9" spans="1:12" x14ac:dyDescent="0.25">
      <c r="A9" s="5">
        <v>6</v>
      </c>
      <c r="B9" s="9" t="s">
        <v>32</v>
      </c>
      <c r="C9" s="5">
        <f t="shared" si="0"/>
        <v>35.164991999999998</v>
      </c>
      <c r="D9" s="9" t="s">
        <v>26</v>
      </c>
      <c r="E9" s="5">
        <f>$J$3-C9</f>
        <v>1.835008000000002</v>
      </c>
      <c r="F9" s="9" t="s">
        <v>42</v>
      </c>
      <c r="G9" s="5">
        <f>E9/$J$5</f>
        <v>0.36700160000000037</v>
      </c>
    </row>
    <row r="10" spans="1:12" x14ac:dyDescent="0.25">
      <c r="A10" s="5">
        <v>7</v>
      </c>
      <c r="B10" s="9" t="s">
        <v>33</v>
      </c>
      <c r="C10" s="5">
        <f t="shared" si="0"/>
        <v>35.5319936</v>
      </c>
      <c r="D10" s="9" t="s">
        <v>27</v>
      </c>
      <c r="E10" s="5">
        <f>$J$3-C10</f>
        <v>1.4680064000000002</v>
      </c>
      <c r="F10" s="9" t="s">
        <v>44</v>
      </c>
      <c r="G10" s="5">
        <f>E10/$J$5</f>
        <v>0.29360128000000002</v>
      </c>
    </row>
    <row r="11" spans="1:12" x14ac:dyDescent="0.25">
      <c r="A11" s="5">
        <v>8</v>
      </c>
      <c r="B11" s="9" t="s">
        <v>34</v>
      </c>
      <c r="C11" s="5">
        <f t="shared" si="0"/>
        <v>35.825594879999997</v>
      </c>
      <c r="D11" s="9" t="s">
        <v>28</v>
      </c>
      <c r="E11" s="5">
        <f>$J$3-C11</f>
        <v>1.174405120000003</v>
      </c>
      <c r="F11" s="9" t="s">
        <v>45</v>
      </c>
      <c r="G11" s="5">
        <f>E11/$J$5</f>
        <v>0.2348810240000006</v>
      </c>
    </row>
    <row r="12" spans="1:12" x14ac:dyDescent="0.25">
      <c r="A12" s="5">
        <v>9</v>
      </c>
      <c r="B12" s="9" t="s">
        <v>35</v>
      </c>
      <c r="C12" s="5">
        <f t="shared" si="0"/>
        <v>36.060475904</v>
      </c>
      <c r="D12" s="9" t="s">
        <v>29</v>
      </c>
      <c r="E12" s="5">
        <f t="shared" ref="E12:E13" si="3">$J$3-C12</f>
        <v>0.93952409599999953</v>
      </c>
      <c r="F12" s="9" t="s">
        <v>46</v>
      </c>
      <c r="G12" s="5">
        <f t="shared" ref="G12:G13" si="4">E12/$J$5</f>
        <v>0.18790481919999991</v>
      </c>
    </row>
    <row r="13" spans="1:12" x14ac:dyDescent="0.25">
      <c r="A13" s="5">
        <v>10</v>
      </c>
      <c r="B13" s="9" t="s">
        <v>36</v>
      </c>
      <c r="C13" s="5">
        <f t="shared" si="0"/>
        <v>36.2483807232</v>
      </c>
      <c r="D13" s="9" t="s">
        <v>30</v>
      </c>
      <c r="E13" s="5">
        <f t="shared" si="3"/>
        <v>0.75161927679999962</v>
      </c>
      <c r="F13" s="9" t="s">
        <v>47</v>
      </c>
      <c r="G13" s="5">
        <f t="shared" si="4"/>
        <v>0.15032385535999992</v>
      </c>
    </row>
    <row r="16" spans="1:12" ht="30" x14ac:dyDescent="0.25">
      <c r="A16" s="3" t="s">
        <v>0</v>
      </c>
      <c r="B16" s="3" t="s">
        <v>8</v>
      </c>
      <c r="C16" s="11" t="s">
        <v>9</v>
      </c>
      <c r="D16" s="7" t="s">
        <v>12</v>
      </c>
      <c r="E16" s="11" t="s">
        <v>13</v>
      </c>
      <c r="F16" s="10" t="s">
        <v>14</v>
      </c>
      <c r="G16" s="7" t="s">
        <v>15</v>
      </c>
    </row>
    <row r="17" spans="1:13" ht="30" x14ac:dyDescent="0.25">
      <c r="A17" s="4">
        <v>0</v>
      </c>
      <c r="B17" s="6">
        <v>30</v>
      </c>
      <c r="C17" s="6">
        <f>$J$17-B17</f>
        <v>7</v>
      </c>
      <c r="D17" s="6">
        <f t="shared" ref="D17:D37" si="5">G17</f>
        <v>0</v>
      </c>
      <c r="E17" s="6">
        <f t="shared" ref="E17:E37" si="6">C17</f>
        <v>7</v>
      </c>
      <c r="F17" s="6">
        <v>0</v>
      </c>
      <c r="G17" s="6">
        <f>F17/$J$19</f>
        <v>0</v>
      </c>
      <c r="I17" s="12" t="s">
        <v>51</v>
      </c>
      <c r="J17" s="4">
        <v>37</v>
      </c>
    </row>
    <row r="18" spans="1:13" ht="30" x14ac:dyDescent="0.25">
      <c r="A18" s="4">
        <f>A17+$J$20</f>
        <v>1</v>
      </c>
      <c r="B18" s="6">
        <f>B17+D17*($J$20)</f>
        <v>30</v>
      </c>
      <c r="C18" s="6">
        <f t="shared" ref="C18:C37" si="7">$J$17-B18</f>
        <v>7</v>
      </c>
      <c r="D18" s="6">
        <f t="shared" si="5"/>
        <v>1.4</v>
      </c>
      <c r="E18" s="6">
        <f t="shared" si="6"/>
        <v>7</v>
      </c>
      <c r="F18" s="6">
        <f t="shared" ref="F18:F37" si="8">F17+E17-G17</f>
        <v>7</v>
      </c>
      <c r="G18" s="6">
        <f>F18/$J$19</f>
        <v>1.4</v>
      </c>
      <c r="I18" s="12" t="s">
        <v>50</v>
      </c>
      <c r="J18" s="13">
        <v>30</v>
      </c>
      <c r="M18" s="14">
        <v>45833</v>
      </c>
    </row>
    <row r="19" spans="1:13" x14ac:dyDescent="0.25">
      <c r="A19" s="4">
        <f t="shared" ref="A19:A37" si="9">A18+$J$20</f>
        <v>2</v>
      </c>
      <c r="B19" s="6">
        <f>B18+D18*($J$20)</f>
        <v>31.4</v>
      </c>
      <c r="C19" s="6">
        <f t="shared" si="7"/>
        <v>5.6000000000000014</v>
      </c>
      <c r="D19" s="6">
        <f t="shared" si="5"/>
        <v>2.52</v>
      </c>
      <c r="E19" s="6">
        <f t="shared" si="6"/>
        <v>5.6000000000000014</v>
      </c>
      <c r="F19" s="6">
        <f>F18+E18-G18</f>
        <v>12.6</v>
      </c>
      <c r="G19" s="6">
        <f t="shared" ref="G19:G37" si="10">F19/$J$19</f>
        <v>2.52</v>
      </c>
      <c r="I19" s="4" t="s">
        <v>49</v>
      </c>
      <c r="J19" s="4">
        <v>5</v>
      </c>
      <c r="M19" s="14">
        <f>M18-90</f>
        <v>45743</v>
      </c>
    </row>
    <row r="20" spans="1:13" x14ac:dyDescent="0.25">
      <c r="A20" s="4">
        <f t="shared" si="9"/>
        <v>3</v>
      </c>
      <c r="B20" s="6">
        <f>B19+D19*($J$20)</f>
        <v>33.92</v>
      </c>
      <c r="C20" s="6">
        <f t="shared" si="7"/>
        <v>3.0799999999999983</v>
      </c>
      <c r="D20" s="6">
        <f t="shared" si="5"/>
        <v>3.1360000000000006</v>
      </c>
      <c r="E20" s="6">
        <f t="shared" si="6"/>
        <v>3.0799999999999983</v>
      </c>
      <c r="F20" s="6">
        <f t="shared" si="8"/>
        <v>15.680000000000003</v>
      </c>
      <c r="G20" s="6">
        <f t="shared" si="10"/>
        <v>3.1360000000000006</v>
      </c>
      <c r="I20" s="4" t="s">
        <v>48</v>
      </c>
      <c r="J20" s="4">
        <v>1</v>
      </c>
    </row>
    <row r="21" spans="1:13" x14ac:dyDescent="0.25">
      <c r="A21" s="4">
        <f t="shared" si="9"/>
        <v>4</v>
      </c>
      <c r="B21" s="6">
        <f>B20+D20*($J$20)</f>
        <v>37.056000000000004</v>
      </c>
      <c r="C21" s="6">
        <f t="shared" si="7"/>
        <v>-5.6000000000004491E-2</v>
      </c>
      <c r="D21" s="6">
        <f t="shared" si="5"/>
        <v>3.1248</v>
      </c>
      <c r="E21" s="6">
        <f t="shared" si="6"/>
        <v>-5.6000000000004491E-2</v>
      </c>
      <c r="F21" s="6">
        <f t="shared" si="8"/>
        <v>15.624000000000001</v>
      </c>
      <c r="G21" s="6">
        <f t="shared" si="10"/>
        <v>3.1248</v>
      </c>
    </row>
    <row r="22" spans="1:13" x14ac:dyDescent="0.25">
      <c r="A22" s="4">
        <f t="shared" si="9"/>
        <v>5</v>
      </c>
      <c r="B22" s="6">
        <f t="shared" ref="B22:B37" si="11">B21+D21*($J$20)</f>
        <v>40.180800000000005</v>
      </c>
      <c r="C22" s="6">
        <f t="shared" si="7"/>
        <v>-3.180800000000005</v>
      </c>
      <c r="D22" s="6">
        <f t="shared" si="5"/>
        <v>2.4886399999999993</v>
      </c>
      <c r="E22" s="6">
        <f t="shared" si="6"/>
        <v>-3.180800000000005</v>
      </c>
      <c r="F22" s="6">
        <f t="shared" si="8"/>
        <v>12.443199999999996</v>
      </c>
      <c r="G22" s="6">
        <f t="shared" si="10"/>
        <v>2.4886399999999993</v>
      </c>
    </row>
    <row r="23" spans="1:13" x14ac:dyDescent="0.25">
      <c r="A23" s="4">
        <f t="shared" si="9"/>
        <v>6</v>
      </c>
      <c r="B23" s="6">
        <f t="shared" si="11"/>
        <v>42.669440000000002</v>
      </c>
      <c r="C23" s="6">
        <f t="shared" si="7"/>
        <v>-5.6694400000000016</v>
      </c>
      <c r="D23" s="6">
        <f t="shared" si="5"/>
        <v>1.3547519999999982</v>
      </c>
      <c r="E23" s="6">
        <f t="shared" si="6"/>
        <v>-5.6694400000000016</v>
      </c>
      <c r="F23" s="6">
        <f t="shared" si="8"/>
        <v>6.7737599999999913</v>
      </c>
      <c r="G23" s="6">
        <f t="shared" si="10"/>
        <v>1.3547519999999982</v>
      </c>
    </row>
    <row r="24" spans="1:13" x14ac:dyDescent="0.25">
      <c r="A24" s="4">
        <f t="shared" si="9"/>
        <v>7</v>
      </c>
      <c r="B24" s="6">
        <f t="shared" si="11"/>
        <v>44.024191999999999</v>
      </c>
      <c r="C24" s="6">
        <f t="shared" si="7"/>
        <v>-7.0241919999999993</v>
      </c>
      <c r="D24" s="6">
        <f t="shared" si="5"/>
        <v>-5.0086400000001682E-2</v>
      </c>
      <c r="E24" s="6">
        <f t="shared" si="6"/>
        <v>-7.0241919999999993</v>
      </c>
      <c r="F24" s="6">
        <f t="shared" si="8"/>
        <v>-0.25043200000000843</v>
      </c>
      <c r="G24" s="6">
        <f t="shared" si="10"/>
        <v>-5.0086400000001682E-2</v>
      </c>
    </row>
    <row r="25" spans="1:13" x14ac:dyDescent="0.25">
      <c r="A25" s="4">
        <f t="shared" si="9"/>
        <v>8</v>
      </c>
      <c r="B25" s="6">
        <f t="shared" si="11"/>
        <v>43.974105599999994</v>
      </c>
      <c r="C25" s="6">
        <f t="shared" si="7"/>
        <v>-6.9741055999999944</v>
      </c>
      <c r="D25" s="6">
        <f t="shared" si="5"/>
        <v>-1.4449075200000014</v>
      </c>
      <c r="E25" s="6">
        <f t="shared" si="6"/>
        <v>-6.9741055999999944</v>
      </c>
      <c r="F25" s="6">
        <f t="shared" si="8"/>
        <v>-7.2245376000000068</v>
      </c>
      <c r="G25" s="6">
        <f t="shared" si="10"/>
        <v>-1.4449075200000014</v>
      </c>
    </row>
    <row r="26" spans="1:13" x14ac:dyDescent="0.25">
      <c r="A26" s="4">
        <f t="shared" si="9"/>
        <v>9</v>
      </c>
      <c r="B26" s="6">
        <f t="shared" si="11"/>
        <v>42.529198079999993</v>
      </c>
      <c r="C26" s="6">
        <f t="shared" si="7"/>
        <v>-5.5291980799999934</v>
      </c>
      <c r="D26" s="6">
        <f t="shared" si="5"/>
        <v>-2.550747136</v>
      </c>
      <c r="E26" s="6">
        <f t="shared" si="6"/>
        <v>-5.5291980799999934</v>
      </c>
      <c r="F26" s="6">
        <f t="shared" si="8"/>
        <v>-12.75373568</v>
      </c>
      <c r="G26" s="6">
        <f t="shared" si="10"/>
        <v>-2.550747136</v>
      </c>
    </row>
    <row r="27" spans="1:13" x14ac:dyDescent="0.25">
      <c r="A27" s="4">
        <f t="shared" si="9"/>
        <v>10</v>
      </c>
      <c r="B27" s="6">
        <f t="shared" si="11"/>
        <v>39.978450943999995</v>
      </c>
      <c r="C27" s="6">
        <f t="shared" si="7"/>
        <v>-2.9784509439999951</v>
      </c>
      <c r="D27" s="6">
        <f t="shared" si="5"/>
        <v>-3.1464373247999982</v>
      </c>
      <c r="E27" s="6">
        <f t="shared" si="6"/>
        <v>-2.9784509439999951</v>
      </c>
      <c r="F27" s="6">
        <f t="shared" si="8"/>
        <v>-15.732186623999992</v>
      </c>
      <c r="G27" s="6">
        <f t="shared" si="10"/>
        <v>-3.1464373247999982</v>
      </c>
    </row>
    <row r="28" spans="1:13" x14ac:dyDescent="0.25">
      <c r="A28" s="4">
        <f t="shared" si="9"/>
        <v>11</v>
      </c>
      <c r="B28" s="6">
        <f t="shared" si="11"/>
        <v>36.832013619199998</v>
      </c>
      <c r="C28" s="6">
        <f t="shared" si="7"/>
        <v>0.16798638080000217</v>
      </c>
      <c r="D28" s="6">
        <f t="shared" si="5"/>
        <v>-3.1128400486399981</v>
      </c>
      <c r="E28" s="6">
        <f t="shared" si="6"/>
        <v>0.16798638080000217</v>
      </c>
      <c r="F28" s="6">
        <f t="shared" si="8"/>
        <v>-15.564200243199991</v>
      </c>
      <c r="G28" s="6">
        <f t="shared" si="10"/>
        <v>-3.1128400486399981</v>
      </c>
    </row>
    <row r="29" spans="1:13" x14ac:dyDescent="0.25">
      <c r="A29" s="4">
        <f t="shared" si="9"/>
        <v>12</v>
      </c>
      <c r="B29" s="6">
        <f t="shared" si="11"/>
        <v>33.719173570560002</v>
      </c>
      <c r="C29" s="6">
        <f t="shared" si="7"/>
        <v>3.2808264294399976</v>
      </c>
      <c r="D29" s="6">
        <f t="shared" si="5"/>
        <v>-2.456674762751998</v>
      </c>
      <c r="E29" s="6">
        <f t="shared" si="6"/>
        <v>3.2808264294399976</v>
      </c>
      <c r="F29" s="6">
        <f t="shared" si="8"/>
        <v>-12.28337381375999</v>
      </c>
      <c r="G29" s="6">
        <f t="shared" si="10"/>
        <v>-2.456674762751998</v>
      </c>
    </row>
    <row r="30" spans="1:13" x14ac:dyDescent="0.25">
      <c r="A30" s="4">
        <f t="shared" si="9"/>
        <v>13</v>
      </c>
      <c r="B30" s="6">
        <f t="shared" si="11"/>
        <v>31.262498807808004</v>
      </c>
      <c r="C30" s="6">
        <f t="shared" si="7"/>
        <v>5.7375011921919956</v>
      </c>
      <c r="D30" s="6">
        <f t="shared" si="5"/>
        <v>-1.3091745243135988</v>
      </c>
      <c r="E30" s="6">
        <f t="shared" si="6"/>
        <v>5.7375011921919956</v>
      </c>
      <c r="F30" s="6">
        <f t="shared" si="8"/>
        <v>-6.5458726215679945</v>
      </c>
      <c r="G30" s="6">
        <f t="shared" si="10"/>
        <v>-1.3091745243135988</v>
      </c>
    </row>
    <row r="31" spans="1:13" x14ac:dyDescent="0.25">
      <c r="A31" s="4">
        <f t="shared" si="9"/>
        <v>14</v>
      </c>
      <c r="B31" s="6">
        <f t="shared" si="11"/>
        <v>29.953324283494407</v>
      </c>
      <c r="C31" s="6">
        <f t="shared" si="7"/>
        <v>7.0466757165055931</v>
      </c>
      <c r="D31" s="6">
        <f t="shared" si="5"/>
        <v>0.10016061898751998</v>
      </c>
      <c r="E31" s="6">
        <f t="shared" si="6"/>
        <v>7.0466757165055931</v>
      </c>
      <c r="F31" s="6">
        <f t="shared" si="8"/>
        <v>0.50080309493759989</v>
      </c>
      <c r="G31" s="6">
        <f t="shared" si="10"/>
        <v>0.10016061898751998</v>
      </c>
    </row>
    <row r="32" spans="1:13" x14ac:dyDescent="0.25">
      <c r="A32" s="4">
        <f t="shared" si="9"/>
        <v>15</v>
      </c>
      <c r="B32" s="6">
        <f t="shared" si="11"/>
        <v>30.053484902481927</v>
      </c>
      <c r="C32" s="6">
        <f t="shared" si="7"/>
        <v>6.9465150975180734</v>
      </c>
      <c r="D32" s="6">
        <f t="shared" si="5"/>
        <v>1.4894636384911348</v>
      </c>
      <c r="E32" s="6">
        <f t="shared" si="6"/>
        <v>6.9465150975180734</v>
      </c>
      <c r="F32" s="6">
        <f t="shared" si="8"/>
        <v>7.4473181924556737</v>
      </c>
      <c r="G32" s="6">
        <f t="shared" si="10"/>
        <v>1.4894636384911348</v>
      </c>
    </row>
    <row r="33" spans="1:7" x14ac:dyDescent="0.25">
      <c r="A33" s="4">
        <f t="shared" si="9"/>
        <v>16</v>
      </c>
      <c r="B33" s="6">
        <f t="shared" si="11"/>
        <v>31.542948540973061</v>
      </c>
      <c r="C33" s="6">
        <f t="shared" si="7"/>
        <v>5.457051459026939</v>
      </c>
      <c r="D33" s="6">
        <f t="shared" si="5"/>
        <v>2.5808739302965225</v>
      </c>
      <c r="E33" s="6">
        <f t="shared" si="6"/>
        <v>5.457051459026939</v>
      </c>
      <c r="F33" s="6">
        <f t="shared" si="8"/>
        <v>12.904369651482613</v>
      </c>
      <c r="G33" s="6">
        <f t="shared" si="10"/>
        <v>2.5808739302965225</v>
      </c>
    </row>
    <row r="34" spans="1:7" x14ac:dyDescent="0.25">
      <c r="A34" s="4">
        <f t="shared" si="9"/>
        <v>17</v>
      </c>
      <c r="B34" s="6">
        <f t="shared" si="11"/>
        <v>34.123822471269584</v>
      </c>
      <c r="C34" s="6">
        <f t="shared" si="7"/>
        <v>2.8761775287304161</v>
      </c>
      <c r="D34" s="6">
        <f t="shared" si="5"/>
        <v>3.1561094360426063</v>
      </c>
      <c r="E34" s="6">
        <f t="shared" si="6"/>
        <v>2.8761775287304161</v>
      </c>
      <c r="F34" s="6">
        <f t="shared" si="8"/>
        <v>15.780547180213031</v>
      </c>
      <c r="G34" s="6">
        <f t="shared" si="10"/>
        <v>3.1561094360426063</v>
      </c>
    </row>
    <row r="35" spans="1:7" x14ac:dyDescent="0.25">
      <c r="A35" s="4">
        <f t="shared" si="9"/>
        <v>18</v>
      </c>
      <c r="B35" s="6">
        <f t="shared" si="11"/>
        <v>37.279931907312189</v>
      </c>
      <c r="C35" s="6">
        <f t="shared" si="7"/>
        <v>-0.27993190731218931</v>
      </c>
      <c r="D35" s="6">
        <f t="shared" si="5"/>
        <v>3.1001230545801683</v>
      </c>
      <c r="E35" s="6">
        <f t="shared" si="6"/>
        <v>-0.27993190731218931</v>
      </c>
      <c r="F35" s="6">
        <f t="shared" si="8"/>
        <v>15.500615272900841</v>
      </c>
      <c r="G35" s="6">
        <f t="shared" si="10"/>
        <v>3.1001230545801683</v>
      </c>
    </row>
    <row r="36" spans="1:7" x14ac:dyDescent="0.25">
      <c r="A36" s="4">
        <f t="shared" si="9"/>
        <v>19</v>
      </c>
      <c r="B36" s="6">
        <f t="shared" si="11"/>
        <v>40.380054961892355</v>
      </c>
      <c r="C36" s="6">
        <f t="shared" si="7"/>
        <v>-3.3800549618923554</v>
      </c>
      <c r="D36" s="6">
        <f t="shared" si="5"/>
        <v>2.4241120622016967</v>
      </c>
      <c r="E36" s="6">
        <f t="shared" si="6"/>
        <v>-3.3800549618923554</v>
      </c>
      <c r="F36" s="6">
        <f t="shared" si="8"/>
        <v>12.120560311008484</v>
      </c>
      <c r="G36" s="6">
        <f t="shared" si="10"/>
        <v>2.4241120622016967</v>
      </c>
    </row>
    <row r="37" spans="1:7" x14ac:dyDescent="0.25">
      <c r="A37" s="4">
        <f t="shared" si="9"/>
        <v>20</v>
      </c>
      <c r="B37" s="6">
        <f t="shared" si="11"/>
        <v>42.804167024094049</v>
      </c>
      <c r="C37" s="6">
        <f t="shared" si="7"/>
        <v>-5.8041670240940491</v>
      </c>
      <c r="D37" s="6">
        <f t="shared" si="5"/>
        <v>1.2632786573828862</v>
      </c>
      <c r="E37" s="6">
        <f t="shared" si="6"/>
        <v>-5.8041670240940491</v>
      </c>
      <c r="F37" s="6">
        <f t="shared" si="8"/>
        <v>6.3163932869144315</v>
      </c>
      <c r="G37" s="6">
        <f t="shared" si="10"/>
        <v>1.2632786573828862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E209-B695-49AF-949D-CC13D9C2B6F1}">
  <dimension ref="A1:H129"/>
  <sheetViews>
    <sheetView topLeftCell="A22" zoomScale="190" zoomScaleNormal="190" workbookViewId="0">
      <selection activeCell="C1" sqref="C1"/>
    </sheetView>
  </sheetViews>
  <sheetFormatPr baseColWidth="10" defaultRowHeight="15" x14ac:dyDescent="0.25"/>
  <cols>
    <col min="7" max="7" width="14.85546875" customWidth="1"/>
  </cols>
  <sheetData>
    <row r="1" spans="1:8" x14ac:dyDescent="0.25">
      <c r="A1" t="s">
        <v>2</v>
      </c>
      <c r="B1" t="s">
        <v>3</v>
      </c>
      <c r="C1" s="8" t="s">
        <v>4</v>
      </c>
    </row>
    <row r="2" spans="1:8" x14ac:dyDescent="0.25">
      <c r="A2" s="8">
        <v>0</v>
      </c>
      <c r="B2">
        <v>100</v>
      </c>
      <c r="C2">
        <v>0</v>
      </c>
      <c r="G2" t="s">
        <v>5</v>
      </c>
      <c r="H2">
        <v>300</v>
      </c>
    </row>
    <row r="3" spans="1:8" x14ac:dyDescent="0.25">
      <c r="A3" s="8">
        <v>1</v>
      </c>
      <c r="B3">
        <f>B2+C2*(A3-A2)</f>
        <v>100</v>
      </c>
      <c r="C3">
        <f t="shared" ref="C3:C9" si="0">$H$2-B2</f>
        <v>200</v>
      </c>
      <c r="G3" t="s">
        <v>6</v>
      </c>
      <c r="H3">
        <v>1</v>
      </c>
    </row>
    <row r="4" spans="1:8" x14ac:dyDescent="0.25">
      <c r="A4" s="8">
        <v>2</v>
      </c>
      <c r="B4">
        <f t="shared" ref="B4:B22" si="1">B3+C3*(A4-A3)</f>
        <v>300</v>
      </c>
      <c r="C4">
        <f t="shared" si="0"/>
        <v>200</v>
      </c>
      <c r="G4" t="s">
        <v>7</v>
      </c>
      <c r="H4">
        <v>1</v>
      </c>
    </row>
    <row r="5" spans="1:8" x14ac:dyDescent="0.25">
      <c r="A5" s="8">
        <v>3</v>
      </c>
      <c r="B5">
        <f t="shared" si="1"/>
        <v>500</v>
      </c>
      <c r="C5">
        <f t="shared" si="0"/>
        <v>0</v>
      </c>
    </row>
    <row r="6" spans="1:8" x14ac:dyDescent="0.25">
      <c r="A6" s="8">
        <v>4</v>
      </c>
      <c r="B6">
        <f t="shared" si="1"/>
        <v>500</v>
      </c>
      <c r="C6">
        <f t="shared" si="0"/>
        <v>-200</v>
      </c>
    </row>
    <row r="7" spans="1:8" x14ac:dyDescent="0.25">
      <c r="A7" s="8">
        <v>5</v>
      </c>
      <c r="B7">
        <f t="shared" si="1"/>
        <v>300</v>
      </c>
      <c r="C7">
        <f t="shared" si="0"/>
        <v>-200</v>
      </c>
    </row>
    <row r="8" spans="1:8" x14ac:dyDescent="0.25">
      <c r="A8" s="8">
        <v>6</v>
      </c>
      <c r="B8">
        <f t="shared" si="1"/>
        <v>100</v>
      </c>
      <c r="C8">
        <f t="shared" si="0"/>
        <v>0</v>
      </c>
    </row>
    <row r="9" spans="1:8" x14ac:dyDescent="0.25">
      <c r="A9" s="8">
        <v>7</v>
      </c>
      <c r="B9">
        <f t="shared" si="1"/>
        <v>100</v>
      </c>
      <c r="C9">
        <f t="shared" si="0"/>
        <v>200</v>
      </c>
    </row>
    <row r="10" spans="1:8" x14ac:dyDescent="0.25">
      <c r="A10" s="8">
        <v>8</v>
      </c>
      <c r="B10">
        <f t="shared" si="1"/>
        <v>300</v>
      </c>
      <c r="C10">
        <f t="shared" ref="C10:C22" si="2">$H$2-B9</f>
        <v>200</v>
      </c>
    </row>
    <row r="11" spans="1:8" x14ac:dyDescent="0.25">
      <c r="A11" s="8">
        <v>9</v>
      </c>
      <c r="B11">
        <f t="shared" si="1"/>
        <v>500</v>
      </c>
      <c r="C11">
        <f t="shared" si="2"/>
        <v>0</v>
      </c>
    </row>
    <row r="12" spans="1:8" x14ac:dyDescent="0.25">
      <c r="A12" s="8">
        <v>10</v>
      </c>
      <c r="B12">
        <f t="shared" si="1"/>
        <v>500</v>
      </c>
      <c r="C12">
        <f t="shared" si="2"/>
        <v>-200</v>
      </c>
    </row>
    <row r="13" spans="1:8" x14ac:dyDescent="0.25">
      <c r="A13" s="8">
        <v>11</v>
      </c>
      <c r="B13">
        <f t="shared" si="1"/>
        <v>300</v>
      </c>
      <c r="C13">
        <f t="shared" si="2"/>
        <v>-200</v>
      </c>
    </row>
    <row r="14" spans="1:8" x14ac:dyDescent="0.25">
      <c r="A14" s="8">
        <v>12</v>
      </c>
      <c r="B14">
        <f t="shared" si="1"/>
        <v>100</v>
      </c>
      <c r="C14">
        <f t="shared" si="2"/>
        <v>0</v>
      </c>
    </row>
    <row r="15" spans="1:8" x14ac:dyDescent="0.25">
      <c r="A15" s="8">
        <v>13</v>
      </c>
      <c r="B15">
        <f t="shared" si="1"/>
        <v>100</v>
      </c>
      <c r="C15">
        <f t="shared" si="2"/>
        <v>200</v>
      </c>
    </row>
    <row r="16" spans="1:8" x14ac:dyDescent="0.25">
      <c r="A16" s="8">
        <v>14</v>
      </c>
      <c r="B16">
        <f t="shared" si="1"/>
        <v>300</v>
      </c>
      <c r="C16">
        <f t="shared" si="2"/>
        <v>200</v>
      </c>
    </row>
    <row r="17" spans="1:8" x14ac:dyDescent="0.25">
      <c r="A17" s="8">
        <v>15</v>
      </c>
      <c r="B17">
        <f t="shared" si="1"/>
        <v>500</v>
      </c>
      <c r="C17">
        <f t="shared" si="2"/>
        <v>0</v>
      </c>
    </row>
    <row r="18" spans="1:8" x14ac:dyDescent="0.25">
      <c r="A18" s="8">
        <v>16</v>
      </c>
      <c r="B18">
        <f t="shared" si="1"/>
        <v>500</v>
      </c>
      <c r="C18">
        <f t="shared" si="2"/>
        <v>-200</v>
      </c>
    </row>
    <row r="19" spans="1:8" x14ac:dyDescent="0.25">
      <c r="A19" s="8">
        <v>17</v>
      </c>
      <c r="B19">
        <f t="shared" si="1"/>
        <v>300</v>
      </c>
      <c r="C19">
        <f t="shared" si="2"/>
        <v>-200</v>
      </c>
    </row>
    <row r="20" spans="1:8" x14ac:dyDescent="0.25">
      <c r="A20" s="8">
        <v>18</v>
      </c>
      <c r="B20">
        <f t="shared" si="1"/>
        <v>100</v>
      </c>
      <c r="C20">
        <f t="shared" si="2"/>
        <v>0</v>
      </c>
    </row>
    <row r="21" spans="1:8" x14ac:dyDescent="0.25">
      <c r="A21" s="8">
        <v>19</v>
      </c>
      <c r="B21">
        <f t="shared" si="1"/>
        <v>100</v>
      </c>
      <c r="C21">
        <f t="shared" si="2"/>
        <v>200</v>
      </c>
    </row>
    <row r="22" spans="1:8" x14ac:dyDescent="0.25">
      <c r="A22" s="8">
        <v>20</v>
      </c>
      <c r="B22">
        <f t="shared" si="1"/>
        <v>300</v>
      </c>
      <c r="C22">
        <f t="shared" si="2"/>
        <v>200</v>
      </c>
    </row>
    <row r="29" spans="1:8" x14ac:dyDescent="0.25">
      <c r="A29" t="s">
        <v>2</v>
      </c>
      <c r="B29" t="s">
        <v>3</v>
      </c>
      <c r="C29" t="s">
        <v>4</v>
      </c>
      <c r="G29" t="s">
        <v>5</v>
      </c>
      <c r="H29">
        <f>H2</f>
        <v>300</v>
      </c>
    </row>
    <row r="30" spans="1:8" x14ac:dyDescent="0.25">
      <c r="A30" s="8">
        <v>0</v>
      </c>
      <c r="B30">
        <v>100</v>
      </c>
      <c r="C30">
        <v>0</v>
      </c>
      <c r="G30" t="s">
        <v>6</v>
      </c>
      <c r="H30">
        <f t="shared" ref="H30" si="3">H3</f>
        <v>1</v>
      </c>
    </row>
    <row r="31" spans="1:8" x14ac:dyDescent="0.25">
      <c r="A31" s="8">
        <f>A30+$H$31</f>
        <v>0.25</v>
      </c>
      <c r="B31">
        <f>B30+C30*(A31-A30)</f>
        <v>100</v>
      </c>
      <c r="C31">
        <v>0</v>
      </c>
      <c r="G31" t="s">
        <v>7</v>
      </c>
      <c r="H31">
        <v>0.25</v>
      </c>
    </row>
    <row r="32" spans="1:8" x14ac:dyDescent="0.25">
      <c r="A32" s="8">
        <f>A31+$H$31</f>
        <v>0.5</v>
      </c>
      <c r="B32">
        <f t="shared" ref="B32:B37" si="4">B31+C31*(A32-A31)</f>
        <v>100</v>
      </c>
      <c r="C32">
        <v>0</v>
      </c>
    </row>
    <row r="33" spans="1:3" x14ac:dyDescent="0.25">
      <c r="A33" s="8">
        <f t="shared" ref="A33:A96" si="5">A32+$H$31</f>
        <v>0.75</v>
      </c>
      <c r="B33">
        <f t="shared" si="4"/>
        <v>100</v>
      </c>
      <c r="C33">
        <v>0</v>
      </c>
    </row>
    <row r="34" spans="1:3" x14ac:dyDescent="0.25">
      <c r="A34" s="8">
        <f t="shared" si="5"/>
        <v>1</v>
      </c>
      <c r="B34">
        <f t="shared" si="4"/>
        <v>100</v>
      </c>
      <c r="C34">
        <f>$H$29-B30</f>
        <v>200</v>
      </c>
    </row>
    <row r="35" spans="1:3" x14ac:dyDescent="0.25">
      <c r="A35" s="8">
        <f t="shared" si="5"/>
        <v>1.25</v>
      </c>
      <c r="B35">
        <f>B34+C34*(A35-A34)</f>
        <v>150</v>
      </c>
      <c r="C35">
        <f t="shared" ref="C35:C38" si="6">$H$29-B31</f>
        <v>200</v>
      </c>
    </row>
    <row r="36" spans="1:3" x14ac:dyDescent="0.25">
      <c r="A36" s="8">
        <f t="shared" si="5"/>
        <v>1.5</v>
      </c>
      <c r="B36">
        <f t="shared" si="4"/>
        <v>200</v>
      </c>
      <c r="C36">
        <f t="shared" si="6"/>
        <v>200</v>
      </c>
    </row>
    <row r="37" spans="1:3" x14ac:dyDescent="0.25">
      <c r="A37" s="8">
        <f t="shared" si="5"/>
        <v>1.75</v>
      </c>
      <c r="B37">
        <f t="shared" si="4"/>
        <v>250</v>
      </c>
      <c r="C37">
        <f t="shared" si="6"/>
        <v>200</v>
      </c>
    </row>
    <row r="38" spans="1:3" x14ac:dyDescent="0.25">
      <c r="A38" s="8">
        <f t="shared" si="5"/>
        <v>2</v>
      </c>
      <c r="B38">
        <f>B37+C37*(A38-A37)</f>
        <v>300</v>
      </c>
      <c r="C38">
        <f t="shared" si="6"/>
        <v>200</v>
      </c>
    </row>
    <row r="39" spans="1:3" x14ac:dyDescent="0.25">
      <c r="A39" s="8">
        <f t="shared" si="5"/>
        <v>2.25</v>
      </c>
      <c r="B39">
        <f>B38+C38*(A39-A38)</f>
        <v>350</v>
      </c>
      <c r="C39">
        <f>$H$29-B35</f>
        <v>150</v>
      </c>
    </row>
    <row r="40" spans="1:3" x14ac:dyDescent="0.25">
      <c r="A40" s="8">
        <f t="shared" si="5"/>
        <v>2.5</v>
      </c>
      <c r="B40">
        <f>B39+C39*(A40-A39)</f>
        <v>387.5</v>
      </c>
      <c r="C40">
        <f>$H$29-B36</f>
        <v>100</v>
      </c>
    </row>
    <row r="41" spans="1:3" x14ac:dyDescent="0.25">
      <c r="A41" s="8">
        <f t="shared" si="5"/>
        <v>2.75</v>
      </c>
      <c r="B41">
        <f>B40+C40*(A41-A40)</f>
        <v>412.5</v>
      </c>
      <c r="C41">
        <f>$H$29-B37</f>
        <v>50</v>
      </c>
    </row>
    <row r="42" spans="1:3" x14ac:dyDescent="0.25">
      <c r="A42" s="8">
        <f t="shared" si="5"/>
        <v>3</v>
      </c>
      <c r="B42">
        <f t="shared" ref="B42:B48" si="7">B41+C41*(A42-A41)</f>
        <v>425</v>
      </c>
      <c r="C42">
        <f t="shared" ref="C42:C105" si="8">$H$29-B38</f>
        <v>0</v>
      </c>
    </row>
    <row r="43" spans="1:3" x14ac:dyDescent="0.25">
      <c r="A43" s="8">
        <f t="shared" si="5"/>
        <v>3.25</v>
      </c>
      <c r="B43">
        <f t="shared" si="7"/>
        <v>425</v>
      </c>
      <c r="C43">
        <f t="shared" si="8"/>
        <v>-50</v>
      </c>
    </row>
    <row r="44" spans="1:3" x14ac:dyDescent="0.25">
      <c r="A44" s="8">
        <f t="shared" si="5"/>
        <v>3.5</v>
      </c>
      <c r="B44">
        <f t="shared" si="7"/>
        <v>412.5</v>
      </c>
      <c r="C44">
        <f t="shared" si="8"/>
        <v>-87.5</v>
      </c>
    </row>
    <row r="45" spans="1:3" x14ac:dyDescent="0.25">
      <c r="A45" s="8">
        <f t="shared" si="5"/>
        <v>3.75</v>
      </c>
      <c r="B45">
        <f t="shared" si="7"/>
        <v>390.625</v>
      </c>
      <c r="C45">
        <f t="shared" si="8"/>
        <v>-112.5</v>
      </c>
    </row>
    <row r="46" spans="1:3" x14ac:dyDescent="0.25">
      <c r="A46" s="8">
        <f t="shared" si="5"/>
        <v>4</v>
      </c>
      <c r="B46">
        <f t="shared" si="7"/>
        <v>362.5</v>
      </c>
      <c r="C46">
        <f t="shared" si="8"/>
        <v>-125</v>
      </c>
    </row>
    <row r="47" spans="1:3" x14ac:dyDescent="0.25">
      <c r="A47" s="8">
        <f t="shared" si="5"/>
        <v>4.25</v>
      </c>
      <c r="B47">
        <f t="shared" si="7"/>
        <v>331.25</v>
      </c>
      <c r="C47">
        <f t="shared" si="8"/>
        <v>-125</v>
      </c>
    </row>
    <row r="48" spans="1:3" x14ac:dyDescent="0.25">
      <c r="A48" s="8">
        <f t="shared" si="5"/>
        <v>4.5</v>
      </c>
      <c r="B48">
        <f t="shared" si="7"/>
        <v>300</v>
      </c>
      <c r="C48">
        <f t="shared" si="8"/>
        <v>-112.5</v>
      </c>
    </row>
    <row r="49" spans="1:3" x14ac:dyDescent="0.25">
      <c r="A49" s="8">
        <f t="shared" si="5"/>
        <v>4.75</v>
      </c>
      <c r="B49">
        <f t="shared" ref="B49:B54" si="9">B48+C48*(A49-A48)</f>
        <v>271.875</v>
      </c>
      <c r="C49">
        <f t="shared" si="8"/>
        <v>-90.625</v>
      </c>
    </row>
    <row r="50" spans="1:3" x14ac:dyDescent="0.25">
      <c r="A50" s="8">
        <f t="shared" si="5"/>
        <v>5</v>
      </c>
      <c r="B50">
        <f t="shared" si="9"/>
        <v>249.21875</v>
      </c>
      <c r="C50">
        <f t="shared" si="8"/>
        <v>-62.5</v>
      </c>
    </row>
    <row r="51" spans="1:3" x14ac:dyDescent="0.25">
      <c r="A51" s="8">
        <f t="shared" si="5"/>
        <v>5.25</v>
      </c>
      <c r="B51">
        <f t="shared" si="9"/>
        <v>233.59375</v>
      </c>
      <c r="C51">
        <f t="shared" si="8"/>
        <v>-31.25</v>
      </c>
    </row>
    <row r="52" spans="1:3" x14ac:dyDescent="0.25">
      <c r="A52" s="8">
        <f t="shared" si="5"/>
        <v>5.5</v>
      </c>
      <c r="B52">
        <f t="shared" si="9"/>
        <v>225.78125</v>
      </c>
      <c r="C52">
        <f t="shared" si="8"/>
        <v>0</v>
      </c>
    </row>
    <row r="53" spans="1:3" x14ac:dyDescent="0.25">
      <c r="A53" s="8">
        <f t="shared" si="5"/>
        <v>5.75</v>
      </c>
      <c r="B53">
        <f t="shared" si="9"/>
        <v>225.78125</v>
      </c>
      <c r="C53">
        <f t="shared" si="8"/>
        <v>28.125</v>
      </c>
    </row>
    <row r="54" spans="1:3" x14ac:dyDescent="0.25">
      <c r="A54" s="8">
        <f t="shared" si="5"/>
        <v>6</v>
      </c>
      <c r="B54">
        <f t="shared" si="9"/>
        <v>232.8125</v>
      </c>
      <c r="C54">
        <f t="shared" si="8"/>
        <v>50.78125</v>
      </c>
    </row>
    <row r="55" spans="1:3" x14ac:dyDescent="0.25">
      <c r="A55" s="8">
        <f t="shared" si="5"/>
        <v>6.25</v>
      </c>
      <c r="B55">
        <f t="shared" ref="B55:B118" si="10">B54+C54*(A55-A54)</f>
        <v>245.5078125</v>
      </c>
      <c r="C55">
        <f t="shared" si="8"/>
        <v>66.40625</v>
      </c>
    </row>
    <row r="56" spans="1:3" x14ac:dyDescent="0.25">
      <c r="A56" s="8">
        <f t="shared" si="5"/>
        <v>6.5</v>
      </c>
      <c r="B56">
        <f t="shared" si="10"/>
        <v>262.109375</v>
      </c>
      <c r="C56">
        <f t="shared" si="8"/>
        <v>74.21875</v>
      </c>
    </row>
    <row r="57" spans="1:3" x14ac:dyDescent="0.25">
      <c r="A57" s="8">
        <f t="shared" si="5"/>
        <v>6.75</v>
      </c>
      <c r="B57">
        <f t="shared" si="10"/>
        <v>280.6640625</v>
      </c>
      <c r="C57">
        <f t="shared" si="8"/>
        <v>74.21875</v>
      </c>
    </row>
    <row r="58" spans="1:3" x14ac:dyDescent="0.25">
      <c r="A58" s="8">
        <f t="shared" si="5"/>
        <v>7</v>
      </c>
      <c r="B58">
        <f t="shared" si="10"/>
        <v>299.21875</v>
      </c>
      <c r="C58">
        <f t="shared" si="8"/>
        <v>67.1875</v>
      </c>
    </row>
    <row r="59" spans="1:3" x14ac:dyDescent="0.25">
      <c r="A59" s="8">
        <f t="shared" si="5"/>
        <v>7.25</v>
      </c>
      <c r="B59">
        <f t="shared" si="10"/>
        <v>316.015625</v>
      </c>
      <c r="C59">
        <f t="shared" si="8"/>
        <v>54.4921875</v>
      </c>
    </row>
    <row r="60" spans="1:3" x14ac:dyDescent="0.25">
      <c r="A60" s="8">
        <f t="shared" si="5"/>
        <v>7.5</v>
      </c>
      <c r="B60">
        <f t="shared" si="10"/>
        <v>329.638671875</v>
      </c>
      <c r="C60">
        <f t="shared" si="8"/>
        <v>37.890625</v>
      </c>
    </row>
    <row r="61" spans="1:3" x14ac:dyDescent="0.25">
      <c r="A61" s="8">
        <f t="shared" si="5"/>
        <v>7.75</v>
      </c>
      <c r="B61">
        <f t="shared" si="10"/>
        <v>339.111328125</v>
      </c>
      <c r="C61">
        <f t="shared" si="8"/>
        <v>19.3359375</v>
      </c>
    </row>
    <row r="62" spans="1:3" x14ac:dyDescent="0.25">
      <c r="A62" s="8">
        <f t="shared" si="5"/>
        <v>8</v>
      </c>
      <c r="B62">
        <f t="shared" si="10"/>
        <v>343.9453125</v>
      </c>
      <c r="C62">
        <f t="shared" si="8"/>
        <v>0.78125</v>
      </c>
    </row>
    <row r="63" spans="1:3" x14ac:dyDescent="0.25">
      <c r="A63" s="8">
        <f t="shared" si="5"/>
        <v>8.25</v>
      </c>
      <c r="B63">
        <f t="shared" si="10"/>
        <v>344.140625</v>
      </c>
      <c r="C63">
        <f t="shared" si="8"/>
        <v>-16.015625</v>
      </c>
    </row>
    <row r="64" spans="1:3" x14ac:dyDescent="0.25">
      <c r="A64" s="8">
        <f t="shared" si="5"/>
        <v>8.5</v>
      </c>
      <c r="B64">
        <f t="shared" si="10"/>
        <v>340.13671875</v>
      </c>
      <c r="C64">
        <f t="shared" si="8"/>
        <v>-29.638671875</v>
      </c>
    </row>
    <row r="65" spans="1:3" x14ac:dyDescent="0.25">
      <c r="A65" s="8">
        <f t="shared" si="5"/>
        <v>8.75</v>
      </c>
      <c r="B65">
        <f t="shared" si="10"/>
        <v>332.72705078125</v>
      </c>
      <c r="C65">
        <f t="shared" si="8"/>
        <v>-39.111328125</v>
      </c>
    </row>
    <row r="66" spans="1:3" x14ac:dyDescent="0.25">
      <c r="A66" s="8">
        <f t="shared" si="5"/>
        <v>9</v>
      </c>
      <c r="B66">
        <f t="shared" si="10"/>
        <v>322.94921875</v>
      </c>
      <c r="C66">
        <f t="shared" si="8"/>
        <v>-43.9453125</v>
      </c>
    </row>
    <row r="67" spans="1:3" x14ac:dyDescent="0.25">
      <c r="A67" s="8">
        <f t="shared" si="5"/>
        <v>9.25</v>
      </c>
      <c r="B67">
        <f t="shared" si="10"/>
        <v>311.962890625</v>
      </c>
      <c r="C67">
        <f t="shared" si="8"/>
        <v>-44.140625</v>
      </c>
    </row>
    <row r="68" spans="1:3" x14ac:dyDescent="0.25">
      <c r="A68" s="8">
        <f t="shared" si="5"/>
        <v>9.5</v>
      </c>
      <c r="B68">
        <f t="shared" si="10"/>
        <v>300.927734375</v>
      </c>
      <c r="C68">
        <f t="shared" si="8"/>
        <v>-40.13671875</v>
      </c>
    </row>
    <row r="69" spans="1:3" x14ac:dyDescent="0.25">
      <c r="A69" s="8">
        <f t="shared" si="5"/>
        <v>9.75</v>
      </c>
      <c r="B69">
        <f t="shared" si="10"/>
        <v>290.8935546875</v>
      </c>
      <c r="C69">
        <f t="shared" si="8"/>
        <v>-32.72705078125</v>
      </c>
    </row>
    <row r="70" spans="1:3" x14ac:dyDescent="0.25">
      <c r="A70" s="8">
        <f t="shared" si="5"/>
        <v>10</v>
      </c>
      <c r="B70">
        <f t="shared" si="10"/>
        <v>282.7117919921875</v>
      </c>
      <c r="C70">
        <f t="shared" si="8"/>
        <v>-22.94921875</v>
      </c>
    </row>
    <row r="71" spans="1:3" x14ac:dyDescent="0.25">
      <c r="A71" s="8">
        <f t="shared" si="5"/>
        <v>10.25</v>
      </c>
      <c r="B71">
        <f t="shared" si="10"/>
        <v>276.9744873046875</v>
      </c>
      <c r="C71">
        <f t="shared" si="8"/>
        <v>-11.962890625</v>
      </c>
    </row>
    <row r="72" spans="1:3" x14ac:dyDescent="0.25">
      <c r="A72" s="8">
        <f t="shared" si="5"/>
        <v>10.5</v>
      </c>
      <c r="B72">
        <f t="shared" si="10"/>
        <v>273.9837646484375</v>
      </c>
      <c r="C72">
        <f t="shared" si="8"/>
        <v>-0.927734375</v>
      </c>
    </row>
    <row r="73" spans="1:3" x14ac:dyDescent="0.25">
      <c r="A73" s="8">
        <f t="shared" si="5"/>
        <v>10.75</v>
      </c>
      <c r="B73">
        <f t="shared" si="10"/>
        <v>273.7518310546875</v>
      </c>
      <c r="C73">
        <f t="shared" si="8"/>
        <v>9.1064453125</v>
      </c>
    </row>
    <row r="74" spans="1:3" x14ac:dyDescent="0.25">
      <c r="A74" s="8">
        <f t="shared" si="5"/>
        <v>11</v>
      </c>
      <c r="B74">
        <f t="shared" si="10"/>
        <v>276.0284423828125</v>
      </c>
      <c r="C74">
        <f t="shared" si="8"/>
        <v>17.2882080078125</v>
      </c>
    </row>
    <row r="75" spans="1:3" x14ac:dyDescent="0.25">
      <c r="A75" s="8">
        <f t="shared" si="5"/>
        <v>11.25</v>
      </c>
      <c r="B75">
        <f t="shared" si="10"/>
        <v>280.35049438476563</v>
      </c>
      <c r="C75">
        <f t="shared" si="8"/>
        <v>23.0255126953125</v>
      </c>
    </row>
    <row r="76" spans="1:3" x14ac:dyDescent="0.25">
      <c r="A76" s="8">
        <f t="shared" si="5"/>
        <v>11.5</v>
      </c>
      <c r="B76">
        <f t="shared" si="10"/>
        <v>286.10687255859375</v>
      </c>
      <c r="C76">
        <f t="shared" si="8"/>
        <v>26.0162353515625</v>
      </c>
    </row>
    <row r="77" spans="1:3" x14ac:dyDescent="0.25">
      <c r="A77" s="8">
        <f t="shared" si="5"/>
        <v>11.75</v>
      </c>
      <c r="B77">
        <f t="shared" si="10"/>
        <v>292.61093139648438</v>
      </c>
      <c r="C77">
        <f t="shared" si="8"/>
        <v>26.2481689453125</v>
      </c>
    </row>
    <row r="78" spans="1:3" x14ac:dyDescent="0.25">
      <c r="A78" s="8">
        <f t="shared" si="5"/>
        <v>12</v>
      </c>
      <c r="B78">
        <f t="shared" si="10"/>
        <v>299.1729736328125</v>
      </c>
      <c r="C78">
        <f t="shared" si="8"/>
        <v>23.9715576171875</v>
      </c>
    </row>
    <row r="79" spans="1:3" x14ac:dyDescent="0.25">
      <c r="A79" s="8">
        <f t="shared" si="5"/>
        <v>12.25</v>
      </c>
      <c r="B79">
        <f t="shared" si="10"/>
        <v>305.16586303710938</v>
      </c>
      <c r="C79">
        <f t="shared" si="8"/>
        <v>19.649505615234375</v>
      </c>
    </row>
    <row r="80" spans="1:3" x14ac:dyDescent="0.25">
      <c r="A80" s="8">
        <f t="shared" si="5"/>
        <v>12.5</v>
      </c>
      <c r="B80">
        <f t="shared" si="10"/>
        <v>310.07823944091797</v>
      </c>
      <c r="C80">
        <f t="shared" si="8"/>
        <v>13.89312744140625</v>
      </c>
    </row>
    <row r="81" spans="1:3" x14ac:dyDescent="0.25">
      <c r="A81" s="8">
        <f t="shared" si="5"/>
        <v>12.75</v>
      </c>
      <c r="B81">
        <f t="shared" si="10"/>
        <v>313.55152130126953</v>
      </c>
      <c r="C81">
        <f t="shared" si="8"/>
        <v>7.389068603515625</v>
      </c>
    </row>
    <row r="82" spans="1:3" x14ac:dyDescent="0.25">
      <c r="A82" s="8">
        <f t="shared" si="5"/>
        <v>13</v>
      </c>
      <c r="B82">
        <f t="shared" si="10"/>
        <v>315.39878845214844</v>
      </c>
      <c r="C82">
        <f t="shared" si="8"/>
        <v>0.8270263671875</v>
      </c>
    </row>
    <row r="83" spans="1:3" x14ac:dyDescent="0.25">
      <c r="A83" s="8">
        <f t="shared" si="5"/>
        <v>13.25</v>
      </c>
      <c r="B83">
        <f t="shared" si="10"/>
        <v>315.60554504394531</v>
      </c>
      <c r="C83">
        <f t="shared" si="8"/>
        <v>-5.165863037109375</v>
      </c>
    </row>
    <row r="84" spans="1:3" x14ac:dyDescent="0.25">
      <c r="A84" s="8">
        <f t="shared" si="5"/>
        <v>13.5</v>
      </c>
      <c r="B84">
        <f t="shared" si="10"/>
        <v>314.31407928466797</v>
      </c>
      <c r="C84">
        <f t="shared" si="8"/>
        <v>-10.078239440917969</v>
      </c>
    </row>
    <row r="85" spans="1:3" x14ac:dyDescent="0.25">
      <c r="A85" s="8">
        <f t="shared" si="5"/>
        <v>13.75</v>
      </c>
      <c r="B85">
        <f t="shared" si="10"/>
        <v>311.79451942443848</v>
      </c>
      <c r="C85">
        <f t="shared" si="8"/>
        <v>-13.551521301269531</v>
      </c>
    </row>
    <row r="86" spans="1:3" x14ac:dyDescent="0.25">
      <c r="A86" s="8">
        <f t="shared" si="5"/>
        <v>14</v>
      </c>
      <c r="B86">
        <f t="shared" si="10"/>
        <v>308.40663909912109</v>
      </c>
      <c r="C86">
        <f t="shared" si="8"/>
        <v>-15.398788452148438</v>
      </c>
    </row>
    <row r="87" spans="1:3" x14ac:dyDescent="0.25">
      <c r="A87" s="8">
        <f t="shared" si="5"/>
        <v>14.25</v>
      </c>
      <c r="B87">
        <f t="shared" si="10"/>
        <v>304.55694198608398</v>
      </c>
      <c r="C87">
        <f t="shared" si="8"/>
        <v>-15.605545043945313</v>
      </c>
    </row>
    <row r="88" spans="1:3" x14ac:dyDescent="0.25">
      <c r="A88" s="8">
        <f t="shared" si="5"/>
        <v>14.5</v>
      </c>
      <c r="B88">
        <f t="shared" si="10"/>
        <v>300.65555572509766</v>
      </c>
      <c r="C88">
        <f t="shared" si="8"/>
        <v>-14.314079284667969</v>
      </c>
    </row>
    <row r="89" spans="1:3" x14ac:dyDescent="0.25">
      <c r="A89" s="8">
        <f t="shared" si="5"/>
        <v>14.75</v>
      </c>
      <c r="B89">
        <f t="shared" si="10"/>
        <v>297.07703590393066</v>
      </c>
      <c r="C89">
        <f t="shared" si="8"/>
        <v>-11.794519424438477</v>
      </c>
    </row>
    <row r="90" spans="1:3" x14ac:dyDescent="0.25">
      <c r="A90" s="8">
        <f t="shared" si="5"/>
        <v>15</v>
      </c>
      <c r="B90">
        <f t="shared" si="10"/>
        <v>294.12840604782104</v>
      </c>
      <c r="C90">
        <f t="shared" si="8"/>
        <v>-8.4066390991210938</v>
      </c>
    </row>
    <row r="91" spans="1:3" x14ac:dyDescent="0.25">
      <c r="A91" s="8">
        <f t="shared" si="5"/>
        <v>15.25</v>
      </c>
      <c r="B91">
        <f t="shared" si="10"/>
        <v>292.02674627304077</v>
      </c>
      <c r="C91">
        <f t="shared" si="8"/>
        <v>-4.5569419860839844</v>
      </c>
    </row>
    <row r="92" spans="1:3" x14ac:dyDescent="0.25">
      <c r="A92" s="8">
        <f t="shared" si="5"/>
        <v>15.5</v>
      </c>
      <c r="B92">
        <f t="shared" si="10"/>
        <v>290.88751077651978</v>
      </c>
      <c r="C92">
        <f t="shared" si="8"/>
        <v>-0.65555572509765625</v>
      </c>
    </row>
    <row r="93" spans="1:3" x14ac:dyDescent="0.25">
      <c r="A93" s="8">
        <f t="shared" si="5"/>
        <v>15.75</v>
      </c>
      <c r="B93">
        <f t="shared" si="10"/>
        <v>290.72362184524536</v>
      </c>
      <c r="C93">
        <f t="shared" si="8"/>
        <v>2.9229640960693359</v>
      </c>
    </row>
    <row r="94" spans="1:3" x14ac:dyDescent="0.25">
      <c r="A94" s="8">
        <f t="shared" si="5"/>
        <v>16</v>
      </c>
      <c r="B94">
        <f t="shared" si="10"/>
        <v>291.4543628692627</v>
      </c>
      <c r="C94">
        <f t="shared" si="8"/>
        <v>5.8715939521789551</v>
      </c>
    </row>
    <row r="95" spans="1:3" x14ac:dyDescent="0.25">
      <c r="A95" s="8">
        <f t="shared" si="5"/>
        <v>16.25</v>
      </c>
      <c r="B95">
        <f t="shared" si="10"/>
        <v>292.92226135730743</v>
      </c>
      <c r="C95">
        <f t="shared" si="8"/>
        <v>7.9732537269592285</v>
      </c>
    </row>
    <row r="96" spans="1:3" x14ac:dyDescent="0.25">
      <c r="A96" s="8">
        <f t="shared" si="5"/>
        <v>16.5</v>
      </c>
      <c r="B96">
        <f t="shared" si="10"/>
        <v>294.91557478904724</v>
      </c>
      <c r="C96">
        <f t="shared" si="8"/>
        <v>9.1124892234802246</v>
      </c>
    </row>
    <row r="97" spans="1:3" x14ac:dyDescent="0.25">
      <c r="A97" s="8">
        <f t="shared" ref="A97:A129" si="11">A96+$H$31</f>
        <v>16.75</v>
      </c>
      <c r="B97">
        <f t="shared" si="10"/>
        <v>297.1936970949173</v>
      </c>
      <c r="C97">
        <f t="shared" si="8"/>
        <v>9.2763781547546387</v>
      </c>
    </row>
    <row r="98" spans="1:3" x14ac:dyDescent="0.25">
      <c r="A98" s="8">
        <f t="shared" si="11"/>
        <v>17</v>
      </c>
      <c r="B98">
        <f t="shared" si="10"/>
        <v>299.51279163360596</v>
      </c>
      <c r="C98">
        <f t="shared" si="8"/>
        <v>8.5456371307373047</v>
      </c>
    </row>
    <row r="99" spans="1:3" x14ac:dyDescent="0.25">
      <c r="A99" s="8">
        <f t="shared" si="11"/>
        <v>17.25</v>
      </c>
      <c r="B99">
        <f t="shared" si="10"/>
        <v>301.64920091629028</v>
      </c>
      <c r="C99">
        <f t="shared" si="8"/>
        <v>7.0777386426925659</v>
      </c>
    </row>
    <row r="100" spans="1:3" x14ac:dyDescent="0.25">
      <c r="A100" s="8">
        <f t="shared" si="11"/>
        <v>17.5</v>
      </c>
      <c r="B100">
        <f t="shared" si="10"/>
        <v>303.41863557696342</v>
      </c>
      <c r="C100">
        <f t="shared" si="8"/>
        <v>5.0844252109527588</v>
      </c>
    </row>
    <row r="101" spans="1:3" x14ac:dyDescent="0.25">
      <c r="A101" s="8">
        <f t="shared" si="11"/>
        <v>17.75</v>
      </c>
      <c r="B101">
        <f t="shared" si="10"/>
        <v>304.68974187970161</v>
      </c>
      <c r="C101">
        <f t="shared" si="8"/>
        <v>2.8063029050827026</v>
      </c>
    </row>
    <row r="102" spans="1:3" x14ac:dyDescent="0.25">
      <c r="A102" s="8">
        <f t="shared" si="11"/>
        <v>18</v>
      </c>
      <c r="B102">
        <f t="shared" si="10"/>
        <v>305.39131760597229</v>
      </c>
      <c r="C102">
        <f t="shared" si="8"/>
        <v>0.48720836639404297</v>
      </c>
    </row>
    <row r="103" spans="1:3" x14ac:dyDescent="0.25">
      <c r="A103" s="8">
        <f t="shared" si="11"/>
        <v>18.25</v>
      </c>
      <c r="B103">
        <f t="shared" si="10"/>
        <v>305.5131196975708</v>
      </c>
      <c r="C103">
        <f t="shared" si="8"/>
        <v>-1.6492009162902832</v>
      </c>
    </row>
    <row r="104" spans="1:3" x14ac:dyDescent="0.25">
      <c r="A104" s="8">
        <f t="shared" si="11"/>
        <v>18.5</v>
      </c>
      <c r="B104">
        <f t="shared" si="10"/>
        <v>305.10081946849823</v>
      </c>
      <c r="C104">
        <f t="shared" si="8"/>
        <v>-3.4186355769634247</v>
      </c>
    </row>
    <row r="105" spans="1:3" x14ac:dyDescent="0.25">
      <c r="A105" s="8">
        <f t="shared" si="11"/>
        <v>18.75</v>
      </c>
      <c r="B105">
        <f t="shared" si="10"/>
        <v>304.24616057425737</v>
      </c>
      <c r="C105">
        <f t="shared" si="8"/>
        <v>-4.6897418797016144</v>
      </c>
    </row>
    <row r="106" spans="1:3" x14ac:dyDescent="0.25">
      <c r="A106" s="8">
        <f t="shared" si="11"/>
        <v>19</v>
      </c>
      <c r="B106">
        <f t="shared" si="10"/>
        <v>303.07372510433197</v>
      </c>
      <c r="C106">
        <f t="shared" ref="C106:C129" si="12">$H$29-B102</f>
        <v>-5.39131760597229</v>
      </c>
    </row>
    <row r="107" spans="1:3" x14ac:dyDescent="0.25">
      <c r="A107" s="8">
        <f t="shared" si="11"/>
        <v>19.25</v>
      </c>
      <c r="B107">
        <f t="shared" si="10"/>
        <v>301.7258957028389</v>
      </c>
      <c r="C107">
        <f t="shared" si="12"/>
        <v>-5.5131196975708008</v>
      </c>
    </row>
    <row r="108" spans="1:3" x14ac:dyDescent="0.25">
      <c r="A108" s="8">
        <f t="shared" si="11"/>
        <v>19.5</v>
      </c>
      <c r="B108">
        <f t="shared" si="10"/>
        <v>300.3476157784462</v>
      </c>
      <c r="C108">
        <f t="shared" si="12"/>
        <v>-5.10081946849823</v>
      </c>
    </row>
    <row r="109" spans="1:3" x14ac:dyDescent="0.25">
      <c r="A109" s="8">
        <f t="shared" si="11"/>
        <v>19.75</v>
      </c>
      <c r="B109">
        <f t="shared" si="10"/>
        <v>299.07241091132164</v>
      </c>
      <c r="C109">
        <f t="shared" si="12"/>
        <v>-4.2461605742573738</v>
      </c>
    </row>
    <row r="110" spans="1:3" x14ac:dyDescent="0.25">
      <c r="A110" s="8">
        <f t="shared" si="11"/>
        <v>20</v>
      </c>
      <c r="B110">
        <f t="shared" si="10"/>
        <v>298.0108707677573</v>
      </c>
      <c r="C110">
        <f t="shared" si="12"/>
        <v>-3.0737251043319702</v>
      </c>
    </row>
    <row r="111" spans="1:3" x14ac:dyDescent="0.25">
      <c r="A111" s="8">
        <f t="shared" si="11"/>
        <v>20.25</v>
      </c>
      <c r="B111">
        <f t="shared" si="10"/>
        <v>297.2424394916743</v>
      </c>
      <c r="C111">
        <f t="shared" si="12"/>
        <v>-1.7258957028388977</v>
      </c>
    </row>
    <row r="112" spans="1:3" x14ac:dyDescent="0.25">
      <c r="A112" s="8">
        <f t="shared" si="11"/>
        <v>20.5</v>
      </c>
      <c r="B112">
        <f t="shared" si="10"/>
        <v>296.81096556596458</v>
      </c>
      <c r="C112">
        <f t="shared" si="12"/>
        <v>-0.34761577844619751</v>
      </c>
    </row>
    <row r="113" spans="1:3" x14ac:dyDescent="0.25">
      <c r="A113" s="8">
        <f t="shared" si="11"/>
        <v>20.75</v>
      </c>
      <c r="B113">
        <f t="shared" si="10"/>
        <v>296.72406162135303</v>
      </c>
      <c r="C113">
        <f t="shared" si="12"/>
        <v>0.92758908867835999</v>
      </c>
    </row>
    <row r="114" spans="1:3" x14ac:dyDescent="0.25">
      <c r="A114" s="8">
        <f t="shared" si="11"/>
        <v>21</v>
      </c>
      <c r="B114">
        <f t="shared" si="10"/>
        <v>296.95595889352262</v>
      </c>
      <c r="C114">
        <f t="shared" si="12"/>
        <v>1.9891292322427034</v>
      </c>
    </row>
    <row r="115" spans="1:3" x14ac:dyDescent="0.25">
      <c r="A115" s="8">
        <f t="shared" si="11"/>
        <v>21.25</v>
      </c>
      <c r="B115">
        <f t="shared" si="10"/>
        <v>297.4532412015833</v>
      </c>
      <c r="C115">
        <f t="shared" si="12"/>
        <v>2.757560508325696</v>
      </c>
    </row>
    <row r="116" spans="1:3" x14ac:dyDescent="0.25">
      <c r="A116" s="8">
        <f t="shared" si="11"/>
        <v>21.5</v>
      </c>
      <c r="B116">
        <f t="shared" si="10"/>
        <v>298.14263132866472</v>
      </c>
      <c r="C116">
        <f t="shared" si="12"/>
        <v>3.1890344340354204</v>
      </c>
    </row>
    <row r="117" spans="1:3" x14ac:dyDescent="0.25">
      <c r="A117" s="8">
        <f t="shared" si="11"/>
        <v>21.75</v>
      </c>
      <c r="B117">
        <f t="shared" si="10"/>
        <v>298.93988993717358</v>
      </c>
      <c r="C117">
        <f t="shared" si="12"/>
        <v>3.2759383786469698</v>
      </c>
    </row>
    <row r="118" spans="1:3" x14ac:dyDescent="0.25">
      <c r="A118" s="8">
        <f t="shared" si="11"/>
        <v>22</v>
      </c>
      <c r="B118">
        <f t="shared" si="10"/>
        <v>299.75887453183532</v>
      </c>
      <c r="C118">
        <f t="shared" si="12"/>
        <v>3.0440411064773798</v>
      </c>
    </row>
    <row r="119" spans="1:3" x14ac:dyDescent="0.25">
      <c r="A119" s="8">
        <f t="shared" si="11"/>
        <v>22.25</v>
      </c>
      <c r="B119">
        <f t="shared" ref="B119:B129" si="13">B118+C118*(A119-A118)</f>
        <v>300.51988480845466</v>
      </c>
      <c r="C119">
        <f t="shared" si="12"/>
        <v>2.5467587984167039</v>
      </c>
    </row>
    <row r="120" spans="1:3" x14ac:dyDescent="0.25">
      <c r="A120" s="8">
        <f t="shared" si="11"/>
        <v>22.5</v>
      </c>
      <c r="B120">
        <f t="shared" si="13"/>
        <v>301.15657450805884</v>
      </c>
      <c r="C120">
        <f t="shared" si="12"/>
        <v>1.8573686713352799</v>
      </c>
    </row>
    <row r="121" spans="1:3" x14ac:dyDescent="0.25">
      <c r="A121" s="8">
        <f t="shared" si="11"/>
        <v>22.75</v>
      </c>
      <c r="B121">
        <f t="shared" si="13"/>
        <v>301.62091667589266</v>
      </c>
      <c r="C121">
        <f t="shared" si="12"/>
        <v>1.0601100628264248</v>
      </c>
    </row>
    <row r="122" spans="1:3" x14ac:dyDescent="0.25">
      <c r="A122" s="8">
        <f t="shared" si="11"/>
        <v>23</v>
      </c>
      <c r="B122">
        <f t="shared" si="13"/>
        <v>301.88594419159926</v>
      </c>
      <c r="C122">
        <f t="shared" si="12"/>
        <v>0.24112546816468239</v>
      </c>
    </row>
    <row r="123" spans="1:3" x14ac:dyDescent="0.25">
      <c r="A123" s="8">
        <f t="shared" si="11"/>
        <v>23.25</v>
      </c>
      <c r="B123">
        <f t="shared" si="13"/>
        <v>301.94622555864044</v>
      </c>
      <c r="C123">
        <f t="shared" si="12"/>
        <v>-0.51988480845466256</v>
      </c>
    </row>
    <row r="124" spans="1:3" x14ac:dyDescent="0.25">
      <c r="A124" s="8">
        <f t="shared" si="11"/>
        <v>23.5</v>
      </c>
      <c r="B124">
        <f t="shared" si="13"/>
        <v>301.81625435652677</v>
      </c>
      <c r="C124">
        <f t="shared" si="12"/>
        <v>-1.1565745080588385</v>
      </c>
    </row>
    <row r="125" spans="1:3" x14ac:dyDescent="0.25">
      <c r="A125" s="8">
        <f t="shared" si="11"/>
        <v>23.75</v>
      </c>
      <c r="B125">
        <f t="shared" si="13"/>
        <v>301.52711072951206</v>
      </c>
      <c r="C125">
        <f t="shared" si="12"/>
        <v>-1.6209166758926585</v>
      </c>
    </row>
    <row r="126" spans="1:3" x14ac:dyDescent="0.25">
      <c r="A126" s="8">
        <f t="shared" si="11"/>
        <v>24</v>
      </c>
      <c r="B126">
        <f t="shared" si="13"/>
        <v>301.1218815605389</v>
      </c>
      <c r="C126">
        <f t="shared" si="12"/>
        <v>-1.8859441915992647</v>
      </c>
    </row>
    <row r="127" spans="1:3" x14ac:dyDescent="0.25">
      <c r="A127" s="8">
        <f t="shared" si="11"/>
        <v>24.25</v>
      </c>
      <c r="B127">
        <f t="shared" si="13"/>
        <v>300.65039551263908</v>
      </c>
      <c r="C127">
        <f t="shared" si="12"/>
        <v>-1.9462255586404353</v>
      </c>
    </row>
    <row r="128" spans="1:3" x14ac:dyDescent="0.25">
      <c r="A128" s="8">
        <f t="shared" si="11"/>
        <v>24.5</v>
      </c>
      <c r="B128">
        <f t="shared" si="13"/>
        <v>300.16383912297897</v>
      </c>
      <c r="C128">
        <f t="shared" si="12"/>
        <v>-1.8162543565267697</v>
      </c>
    </row>
    <row r="129" spans="1:3" x14ac:dyDescent="0.25">
      <c r="A129" s="8">
        <f t="shared" si="11"/>
        <v>24.75</v>
      </c>
      <c r="B129">
        <f t="shared" si="13"/>
        <v>299.70977553384728</v>
      </c>
      <c r="C129">
        <f t="shared" si="12"/>
        <v>-1.5271107295120601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1720-D892-4CB4-AA62-D0EEAB566B33}">
  <dimension ref="A1"/>
  <sheetViews>
    <sheetView workbookViewId="0">
      <selection activeCell="L23" sqref="L2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retardo con mezcla</vt:lpstr>
      <vt:lpstr>retardo de tubería</vt:lpstr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 Castaneda</cp:lastModifiedBy>
  <dcterms:created xsi:type="dcterms:W3CDTF">2025-04-21T11:58:29Z</dcterms:created>
  <dcterms:modified xsi:type="dcterms:W3CDTF">2025-04-29T21:20:35Z</dcterms:modified>
</cp:coreProperties>
</file>